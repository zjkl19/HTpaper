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4"/>
  </bookViews>
  <sheets>
    <sheet name="Sheet1" sheetId="1" r:id="rId1"/>
    <sheet name="Sheet2" sheetId="2" r:id="rId2"/>
    <sheet name="Sheet3" sheetId="3" r:id="rId3"/>
    <sheet name="2018行列转换" sheetId="4" r:id="rId4"/>
    <sheet name="2019行列转换" sheetId="5" r:id="rId5"/>
  </sheets>
  <calcPr calcId="144525" concurrentCalc="0"/>
</workbook>
</file>

<file path=xl/sharedStrings.xml><?xml version="1.0" encoding="utf-8"?>
<sst xmlns="http://schemas.openxmlformats.org/spreadsheetml/2006/main" count="388">
  <si>
    <t xml:space="preserve">2.17</t>
  </si>
  <si>
    <t xml:space="preserve">2.19</t>
  </si>
  <si>
    <t xml:space="preserve">2.22</t>
  </si>
  <si>
    <t xml:space="preserve">2.24</t>
  </si>
  <si>
    <t xml:space="preserve">2.26</t>
  </si>
  <si>
    <t xml:space="preserve">3.1</t>
  </si>
  <si>
    <t xml:space="preserve">3.3</t>
  </si>
  <si>
    <t xml:space="preserve">3.5</t>
  </si>
  <si>
    <t xml:space="preserve">3.8</t>
  </si>
  <si>
    <t xml:space="preserve">3.10</t>
  </si>
  <si>
    <t xml:space="preserve">3.12</t>
  </si>
  <si>
    <t xml:space="preserve">3.15</t>
  </si>
  <si>
    <t xml:space="preserve">3.17</t>
  </si>
  <si>
    <t xml:space="preserve">3.19</t>
  </si>
  <si>
    <t xml:space="preserve">3.22</t>
  </si>
  <si>
    <t xml:space="preserve">3.24</t>
  </si>
  <si>
    <t xml:space="preserve">3.26</t>
  </si>
  <si>
    <t xml:space="preserve">3.29</t>
  </si>
  <si>
    <t xml:space="preserve">3.31</t>
  </si>
  <si>
    <t xml:space="preserve">4.2</t>
  </si>
  <si>
    <t xml:space="preserve">4.5</t>
  </si>
  <si>
    <t xml:space="preserve">4.7</t>
  </si>
  <si>
    <t xml:space="preserve">4.9</t>
  </si>
  <si>
    <t xml:space="preserve">4.12</t>
  </si>
  <si>
    <t xml:space="preserve">4.14</t>
  </si>
  <si>
    <t xml:space="preserve">4.16</t>
  </si>
  <si>
    <t xml:space="preserve">4.19</t>
  </si>
  <si>
    <t xml:space="preserve">4.21</t>
  </si>
  <si>
    <t xml:space="preserve">4.23</t>
  </si>
  <si>
    <t xml:space="preserve">4.26</t>
  </si>
  <si>
    <t xml:space="preserve">-4.335</t>
  </si>
  <si>
    <t xml:space="preserve">-4.332</t>
  </si>
  <si>
    <t xml:space="preserve">-4.343</t>
  </si>
  <si>
    <t xml:space="preserve">-4.341</t>
  </si>
  <si>
    <t xml:space="preserve">-4.328</t>
  </si>
  <si>
    <t xml:space="preserve">-4.339</t>
  </si>
  <si>
    <t xml:space="preserve">-4.337</t>
  </si>
  <si>
    <t xml:space="preserve">-4.330</t>
  </si>
  <si>
    <t xml:space="preserve">-4.345</t>
  </si>
  <si>
    <t xml:space="preserve">-4.329</t>
  </si>
  <si>
    <t xml:space="preserve">-4.331</t>
  </si>
  <si>
    <t xml:space="preserve">-4.336</t>
  </si>
  <si>
    <t xml:space="preserve">-4.334</t>
  </si>
  <si>
    <t xml:space="preserve">-4.327</t>
  </si>
  <si>
    <t xml:space="preserve">-4.333</t>
  </si>
  <si>
    <t xml:space="preserve">-4.342</t>
  </si>
  <si>
    <t xml:space="preserve">-4.340</t>
  </si>
  <si>
    <t xml:space="preserve">-4.344</t>
  </si>
  <si>
    <t xml:space="preserve">-4.338</t>
  </si>
  <si>
    <t xml:space="preserve">-4.346</t>
  </si>
  <si>
    <t xml:space="preserve">-0.351</t>
  </si>
  <si>
    <t xml:space="preserve">-0.346</t>
  </si>
  <si>
    <t xml:space="preserve">-0.337</t>
  </si>
  <si>
    <t xml:space="preserve">-0.347</t>
  </si>
  <si>
    <t xml:space="preserve">-0.339</t>
  </si>
  <si>
    <t xml:space="preserve">-0.354</t>
  </si>
  <si>
    <t xml:space="preserve">-0.338</t>
  </si>
  <si>
    <t xml:space="preserve">-0.330</t>
  </si>
  <si>
    <t xml:space="preserve">-0.350</t>
  </si>
  <si>
    <t xml:space="preserve">-0.345</t>
  </si>
  <si>
    <t xml:space="preserve">-0.348</t>
  </si>
  <si>
    <t xml:space="preserve">-0.341</t>
  </si>
  <si>
    <t xml:space="preserve">-0.340</t>
  </si>
  <si>
    <t xml:space="preserve">-0.335</t>
  </si>
  <si>
    <t xml:space="preserve">-0.336</t>
  </si>
  <si>
    <t xml:space="preserve">-0.352</t>
  </si>
  <si>
    <t xml:space="preserve">-0.349</t>
  </si>
  <si>
    <t xml:space="preserve">0.345</t>
  </si>
  <si>
    <t xml:space="preserve">0.336</t>
  </si>
  <si>
    <t xml:space="preserve">0.342</t>
  </si>
  <si>
    <t xml:space="preserve">0.338</t>
  </si>
  <si>
    <t xml:space="preserve">0.335</t>
  </si>
  <si>
    <t xml:space="preserve">0.328</t>
  </si>
  <si>
    <t xml:space="preserve">0.337</t>
  </si>
  <si>
    <t xml:space="preserve">0.341</t>
  </si>
  <si>
    <t xml:space="preserve">0.343</t>
  </si>
  <si>
    <t xml:space="preserve">0.349</t>
  </si>
  <si>
    <t xml:space="preserve">0.340</t>
  </si>
  <si>
    <t xml:space="preserve">0.346</t>
  </si>
  <si>
    <t xml:space="preserve">0.347</t>
  </si>
  <si>
    <t xml:space="preserve">0.329</t>
  </si>
  <si>
    <t xml:space="preserve">0.334</t>
  </si>
  <si>
    <t xml:space="preserve">0.339</t>
  </si>
  <si>
    <t xml:space="preserve">0.348</t>
  </si>
  <si>
    <t xml:space="preserve">1.158</t>
  </si>
  <si>
    <t xml:space="preserve">1.167</t>
  </si>
  <si>
    <t xml:space="preserve">1.163</t>
  </si>
  <si>
    <t xml:space="preserve">1.164</t>
  </si>
  <si>
    <t xml:space="preserve">1.161</t>
  </si>
  <si>
    <t xml:space="preserve">1.171</t>
  </si>
  <si>
    <t xml:space="preserve">1.179</t>
  </si>
  <si>
    <t xml:space="preserve">1.162</t>
  </si>
  <si>
    <t xml:space="preserve">1.176</t>
  </si>
  <si>
    <t xml:space="preserve">1.172</t>
  </si>
  <si>
    <t xml:space="preserve">1.169</t>
  </si>
  <si>
    <t xml:space="preserve">1.170</t>
  </si>
  <si>
    <t xml:space="preserve">1.165</t>
  </si>
  <si>
    <t xml:space="preserve">1.175</t>
  </si>
  <si>
    <t xml:space="preserve">1.178</t>
  </si>
  <si>
    <t xml:space="preserve">1.168</t>
  </si>
  <si>
    <t xml:space="preserve">1.2</t>
  </si>
  <si>
    <t xml:space="preserve">1.4</t>
  </si>
  <si>
    <t xml:space="preserve">1.6</t>
  </si>
  <si>
    <t xml:space="preserve">1.8</t>
  </si>
  <si>
    <t xml:space="preserve">1.11</t>
  </si>
  <si>
    <t xml:space="preserve">1.13</t>
  </si>
  <si>
    <t xml:space="preserve">1.15</t>
  </si>
  <si>
    <t xml:space="preserve">1.18</t>
  </si>
  <si>
    <t xml:space="preserve">1.20</t>
  </si>
  <si>
    <t xml:space="preserve">1.22</t>
  </si>
  <si>
    <t xml:space="preserve">1.25</t>
  </si>
  <si>
    <t xml:space="preserve">1.27</t>
  </si>
  <si>
    <t xml:space="preserve">1.29</t>
  </si>
  <si>
    <t xml:space="preserve">2.1</t>
  </si>
  <si>
    <t xml:space="preserve">2.3</t>
  </si>
  <si>
    <t xml:space="preserve">2.5</t>
  </si>
  <si>
    <t xml:space="preserve">2.8</t>
  </si>
  <si>
    <t xml:space="preserve">-4.348</t>
  </si>
  <si>
    <t xml:space="preserve">-0.342</t>
  </si>
  <si>
    <t xml:space="preserve">-0.332</t>
  </si>
  <si>
    <t xml:space="preserve">-0.343 </t>
  </si>
  <si>
    <t xml:space="preserve">-0.343</t>
  </si>
  <si>
    <t xml:space="preserve">0.332</t>
  </si>
  <si>
    <t xml:space="preserve">0.353</t>
  </si>
  <si>
    <t xml:space="preserve">0.327</t>
  </si>
  <si>
    <t xml:space="preserve">0.330</t>
  </si>
  <si>
    <t xml:space="preserve">1.173</t>
  </si>
  <si>
    <t xml:space="preserve">1.172 </t>
  </si>
  <si>
    <t xml:space="preserve">1.174</t>
  </si>
  <si>
    <t xml:space="preserve">1.167 </t>
  </si>
  <si>
    <t xml:space="preserve">1.184 </t>
  </si>
  <si>
    <t>桥墩编号</t>
  </si>
  <si>
    <t>测试方向</t>
  </si>
  <si>
    <t>测试时间</t>
  </si>
  <si>
    <t xml:space="preserve">  2＇</t>
  </si>
  <si>
    <t>θa</t>
  </si>
  <si>
    <t>2＇</t>
  </si>
  <si>
    <t>θb</t>
  </si>
  <si>
    <t xml:space="preserve">  3＇</t>
  </si>
  <si>
    <t>3＇</t>
  </si>
  <si>
    <t xml:space="preserve">  4＇</t>
  </si>
  <si>
    <t>4＇</t>
  </si>
  <si>
    <t xml:space="preserve">12.27</t>
  </si>
  <si>
    <t xml:space="preserve">12.29</t>
  </si>
  <si>
    <t xml:space="preserve">1.1</t>
  </si>
  <si>
    <t xml:space="preserve">1.9</t>
  </si>
  <si>
    <t xml:space="preserve">1.12</t>
  </si>
  <si>
    <t xml:space="preserve">1.17</t>
  </si>
  <si>
    <t xml:space="preserve">1.19</t>
  </si>
  <si>
    <t xml:space="preserve">1.24</t>
  </si>
  <si>
    <t xml:space="preserve">1.26</t>
  </si>
  <si>
    <t xml:space="preserve">1.28</t>
  </si>
  <si>
    <t xml:space="preserve">1.30</t>
  </si>
  <si>
    <t xml:space="preserve">2.4</t>
  </si>
  <si>
    <t xml:space="preserve">2.6</t>
  </si>
  <si>
    <t xml:space="preserve">2.28</t>
  </si>
  <si>
    <t xml:space="preserve">3.2</t>
  </si>
  <si>
    <t xml:space="preserve">3.7</t>
  </si>
  <si>
    <t xml:space="preserve">3.9</t>
  </si>
  <si>
    <t xml:space="preserve">3.14</t>
  </si>
  <si>
    <t xml:space="preserve">3.16</t>
  </si>
  <si>
    <t xml:space="preserve">3.21</t>
  </si>
  <si>
    <t xml:space="preserve">3.23</t>
  </si>
  <si>
    <t xml:space="preserve">3.25</t>
  </si>
  <si>
    <t xml:space="preserve">3.27</t>
  </si>
  <si>
    <t xml:space="preserve">3.30</t>
  </si>
  <si>
    <t xml:space="preserve">4.1</t>
  </si>
  <si>
    <t xml:space="preserve">4.3</t>
  </si>
  <si>
    <t xml:space="preserve">4.8</t>
  </si>
  <si>
    <t xml:space="preserve">4.10</t>
  </si>
  <si>
    <t xml:space="preserve">4.13</t>
  </si>
  <si>
    <t xml:space="preserve">4.15</t>
  </si>
  <si>
    <t xml:space="preserve">4.17</t>
  </si>
  <si>
    <t xml:space="preserve">4.24</t>
  </si>
  <si>
    <t xml:space="preserve">4.27</t>
  </si>
  <si>
    <t xml:space="preserve">5.1</t>
  </si>
  <si>
    <t xml:space="preserve">5.3</t>
  </si>
  <si>
    <t xml:space="preserve">5.5</t>
  </si>
  <si>
    <t xml:space="preserve">5.7</t>
  </si>
  <si>
    <t xml:space="preserve">5.9</t>
  </si>
  <si>
    <t xml:space="preserve">5.11</t>
  </si>
  <si>
    <t xml:space="preserve">5.13</t>
  </si>
  <si>
    <t xml:space="preserve">5.15</t>
  </si>
  <si>
    <t xml:space="preserve">5.17</t>
  </si>
  <si>
    <t xml:space="preserve">5.19</t>
  </si>
  <si>
    <t xml:space="preserve">5.21</t>
  </si>
  <si>
    <t xml:space="preserve">5.24</t>
  </si>
  <si>
    <t xml:space="preserve">5.26</t>
  </si>
  <si>
    <t xml:space="preserve">5.28</t>
  </si>
  <si>
    <t xml:space="preserve">5.30</t>
  </si>
  <si>
    <t xml:space="preserve">6.02</t>
  </si>
  <si>
    <t xml:space="preserve">6.04</t>
  </si>
  <si>
    <t xml:space="preserve">6.07</t>
  </si>
  <si>
    <t xml:space="preserve">6.10</t>
  </si>
  <si>
    <t xml:space="preserve">6.12</t>
  </si>
  <si>
    <t xml:space="preserve">6.14</t>
  </si>
  <si>
    <t xml:space="preserve">6.16</t>
  </si>
  <si>
    <t xml:space="preserve">6.19</t>
  </si>
  <si>
    <t xml:space="preserve">6.22</t>
  </si>
  <si>
    <t xml:space="preserve">6.24</t>
  </si>
  <si>
    <t xml:space="preserve">6.26</t>
  </si>
  <si>
    <t xml:space="preserve">6.29</t>
  </si>
  <si>
    <t xml:space="preserve">7.01</t>
  </si>
  <si>
    <t xml:space="preserve">7.03</t>
  </si>
  <si>
    <t xml:space="preserve">7.05</t>
  </si>
  <si>
    <t xml:space="preserve">7.08</t>
  </si>
  <si>
    <t xml:space="preserve">7.10</t>
  </si>
  <si>
    <t xml:space="preserve">7.12</t>
  </si>
  <si>
    <t xml:space="preserve">7.15</t>
  </si>
  <si>
    <t xml:space="preserve">7.17</t>
  </si>
  <si>
    <t xml:space="preserve">7.20</t>
  </si>
  <si>
    <t xml:space="preserve">7.22</t>
  </si>
  <si>
    <t xml:space="preserve">7.25</t>
  </si>
  <si>
    <t xml:space="preserve">7.27</t>
  </si>
  <si>
    <t>8.10</t>
  </si>
  <si>
    <t xml:space="preserve">8.27</t>
  </si>
  <si>
    <t xml:space="preserve">8.29</t>
  </si>
  <si>
    <t xml:space="preserve">8.31</t>
  </si>
  <si>
    <t xml:space="preserve">9.2</t>
  </si>
  <si>
    <t xml:space="preserve">9.4</t>
  </si>
  <si>
    <t xml:space="preserve">9.7</t>
  </si>
  <si>
    <t xml:space="preserve">9.9</t>
  </si>
  <si>
    <t xml:space="preserve">9.11</t>
  </si>
  <si>
    <t xml:space="preserve">9.14</t>
  </si>
  <si>
    <t xml:space="preserve">9.16</t>
  </si>
  <si>
    <t xml:space="preserve">9.18</t>
  </si>
  <si>
    <t xml:space="preserve">9.21</t>
  </si>
  <si>
    <t xml:space="preserve">9.23</t>
  </si>
  <si>
    <t xml:space="preserve">9.25</t>
  </si>
  <si>
    <t xml:space="preserve">9.27</t>
  </si>
  <si>
    <t xml:space="preserve">10.28</t>
  </si>
  <si>
    <t xml:space="preserve">10.30</t>
  </si>
  <si>
    <t xml:space="preserve">11.2</t>
  </si>
  <si>
    <t xml:space="preserve">11.4</t>
  </si>
  <si>
    <t xml:space="preserve">11.6</t>
  </si>
  <si>
    <t xml:space="preserve">11.9</t>
  </si>
  <si>
    <t xml:space="preserve">11.11</t>
  </si>
  <si>
    <t xml:space="preserve">11.13</t>
  </si>
  <si>
    <t xml:space="preserve">11.16</t>
  </si>
  <si>
    <t xml:space="preserve">11.18</t>
  </si>
  <si>
    <t xml:space="preserve">11.20</t>
  </si>
  <si>
    <t xml:space="preserve">11.23</t>
  </si>
  <si>
    <t xml:space="preserve">11.25</t>
  </si>
  <si>
    <t xml:space="preserve">11.27</t>
  </si>
  <si>
    <t xml:space="preserve">11.30</t>
  </si>
  <si>
    <t xml:space="preserve">12.2</t>
  </si>
  <si>
    <t xml:space="preserve">12.4</t>
  </si>
  <si>
    <t xml:space="preserve">12.7</t>
  </si>
  <si>
    <t xml:space="preserve">12.9</t>
  </si>
  <si>
    <t xml:space="preserve">12.11</t>
  </si>
  <si>
    <t xml:space="preserve">12.14</t>
  </si>
  <si>
    <t xml:space="preserve">12.16</t>
  </si>
  <si>
    <t xml:space="preserve">12.18</t>
  </si>
  <si>
    <t xml:space="preserve">12.21</t>
  </si>
  <si>
    <t xml:space="preserve">12.23</t>
  </si>
  <si>
    <t xml:space="preserve">12.25</t>
  </si>
  <si>
    <t xml:space="preserve">12.28</t>
  </si>
  <si>
    <t xml:space="preserve">-4.299</t>
  </si>
  <si>
    <t xml:space="preserve">-4.302</t>
  </si>
  <si>
    <t xml:space="preserve">-4.280</t>
  </si>
  <si>
    <t xml:space="preserve">-4.273</t>
  </si>
  <si>
    <t xml:space="preserve">-4.295</t>
  </si>
  <si>
    <t xml:space="preserve">-4.317</t>
  </si>
  <si>
    <t xml:space="preserve">-4.313</t>
  </si>
  <si>
    <t xml:space="preserve">-4.350 </t>
  </si>
  <si>
    <t xml:space="preserve">-4.328 </t>
  </si>
  <si>
    <t xml:space="preserve">-4.310 </t>
  </si>
  <si>
    <t xml:space="preserve">-0.001</t>
  </si>
  <si>
    <t xml:space="preserve">-4.306</t>
  </si>
  <si>
    <t xml:space="preserve">-4.321</t>
  </si>
  <si>
    <t xml:space="preserve">-4.347</t>
  </si>
  <si>
    <t xml:space="preserve">-4.321 </t>
  </si>
  <si>
    <t xml:space="preserve">-4.347 </t>
  </si>
  <si>
    <t xml:space="preserve">-4.317 </t>
  </si>
  <si>
    <t xml:space="preserve">-4.325 </t>
  </si>
  <si>
    <t xml:space="preserve">-4.313 </t>
  </si>
  <si>
    <t xml:space="preserve">-4.339 </t>
  </si>
  <si>
    <t xml:space="preserve">-4.336 </t>
  </si>
  <si>
    <t xml:space="preserve">-4.332 </t>
  </si>
  <si>
    <t xml:space="preserve">-4.280 </t>
  </si>
  <si>
    <t xml:space="preserve">-4.330 </t>
  </si>
  <si>
    <t xml:space="preserve">-4.322 </t>
  </si>
  <si>
    <t xml:space="preserve">-4.322</t>
  </si>
  <si>
    <t xml:space="preserve">-4.318</t>
  </si>
  <si>
    <t xml:space="preserve">-4.320</t>
  </si>
  <si>
    <t xml:space="preserve">-4.326</t>
  </si>
  <si>
    <t xml:space="preserve">-4.315</t>
  </si>
  <si>
    <t xml:space="preserve">-4.312</t>
  </si>
  <si>
    <t xml:space="preserve">-4.319</t>
  </si>
  <si>
    <t xml:space="preserve">-4.309</t>
  </si>
  <si>
    <t xml:space="preserve">-4.323</t>
  </si>
  <si>
    <t xml:space="preserve">-4.325</t>
  </si>
  <si>
    <t xml:space="preserve">-0.357</t>
  </si>
  <si>
    <t xml:space="preserve">-0.327</t>
  </si>
  <si>
    <t xml:space="preserve">-0.305</t>
  </si>
  <si>
    <t xml:space="preserve">-0.338 </t>
  </si>
  <si>
    <t xml:space="preserve">-0.342 </t>
  </si>
  <si>
    <t xml:space="preserve">-0.346 </t>
  </si>
  <si>
    <t xml:space="preserve">-0.349 </t>
  </si>
  <si>
    <t xml:space="preserve">-0.357 </t>
  </si>
  <si>
    <t xml:space="preserve">-0.360 </t>
  </si>
  <si>
    <t xml:space="preserve">-0.353 </t>
  </si>
  <si>
    <t xml:space="preserve">-0.335 </t>
  </si>
  <si>
    <t xml:space="preserve">-0.320 </t>
  </si>
  <si>
    <t xml:space="preserve">-0.333 </t>
  </si>
  <si>
    <t xml:space="preserve">-0.350 </t>
  </si>
  <si>
    <t xml:space="preserve">-0.339 </t>
  </si>
  <si>
    <t xml:space="preserve">-0.333</t>
  </si>
  <si>
    <t xml:space="preserve">-0.336 </t>
  </si>
  <si>
    <t xml:space="preserve">-0.353</t>
  </si>
  <si>
    <t xml:space="preserve">-0.356 </t>
  </si>
  <si>
    <t xml:space="preserve">-0.348 </t>
  </si>
  <si>
    <t xml:space="preserve">-0.334</t>
  </si>
  <si>
    <t xml:space="preserve">-0.347 </t>
  </si>
  <si>
    <t xml:space="preserve">-0.352 </t>
  </si>
  <si>
    <t xml:space="preserve">0.333</t>
  </si>
  <si>
    <t xml:space="preserve">0.326</t>
  </si>
  <si>
    <t xml:space="preserve">0.322</t>
  </si>
  <si>
    <t xml:space="preserve">0.315</t>
  </si>
  <si>
    <t xml:space="preserve">0.351</t>
  </si>
  <si>
    <t xml:space="preserve">0.351 </t>
  </si>
  <si>
    <t xml:space="preserve">0.348 </t>
  </si>
  <si>
    <t xml:space="preserve">0.344</t>
  </si>
  <si>
    <t xml:space="preserve">0.344 </t>
  </si>
  <si>
    <t xml:space="preserve">0.337 </t>
  </si>
  <si>
    <t xml:space="preserve">0.340 </t>
  </si>
  <si>
    <t xml:space="preserve">0.330 </t>
  </si>
  <si>
    <t xml:space="preserve">0.359</t>
  </si>
  <si>
    <t xml:space="preserve">0.357</t>
  </si>
  <si>
    <t xml:space="preserve">0.355</t>
  </si>
  <si>
    <t xml:space="preserve">0.356</t>
  </si>
  <si>
    <t xml:space="preserve">0.343 </t>
  </si>
  <si>
    <t xml:space="preserve">0.350 </t>
  </si>
  <si>
    <t xml:space="preserve">0.333 </t>
  </si>
  <si>
    <t xml:space="preserve">0.338 </t>
  </si>
  <si>
    <t xml:space="preserve">0.334 </t>
  </si>
  <si>
    <t xml:space="preserve">0.341 </t>
  </si>
  <si>
    <t xml:space="preserve">0.331</t>
  </si>
  <si>
    <t xml:space="preserve">0.329 </t>
  </si>
  <si>
    <t xml:space="preserve">0.339 </t>
  </si>
  <si>
    <t xml:space="preserve">0.214</t>
  </si>
  <si>
    <t xml:space="preserve">1.156</t>
  </si>
  <si>
    <t xml:space="preserve">1.152</t>
  </si>
  <si>
    <t xml:space="preserve">1.159</t>
  </si>
  <si>
    <t xml:space="preserve">1.178 </t>
  </si>
  <si>
    <t xml:space="preserve">1.181 </t>
  </si>
  <si>
    <t xml:space="preserve">1.185 </t>
  </si>
  <si>
    <t xml:space="preserve">1.200</t>
  </si>
  <si>
    <t xml:space="preserve">1.196</t>
  </si>
  <si>
    <t xml:space="preserve">1.181</t>
  </si>
  <si>
    <t xml:space="preserve">1.141</t>
  </si>
  <si>
    <t xml:space="preserve">1.145</t>
  </si>
  <si>
    <t xml:space="preserve">1.174 </t>
  </si>
  <si>
    <t xml:space="preserve">1.218 </t>
  </si>
  <si>
    <t xml:space="preserve">1.214 </t>
  </si>
  <si>
    <t xml:space="preserve">1.207 </t>
  </si>
  <si>
    <t xml:space="preserve">1.170 </t>
  </si>
  <si>
    <t xml:space="preserve">1.192</t>
  </si>
  <si>
    <t xml:space="preserve">1.156 </t>
  </si>
  <si>
    <t xml:space="preserve">1.255</t>
  </si>
  <si>
    <t xml:space="preserve">1.258</t>
  </si>
  <si>
    <t xml:space="preserve">1.257</t>
  </si>
  <si>
    <t xml:space="preserve">1.256</t>
  </si>
  <si>
    <t xml:space="preserve">1.252</t>
  </si>
  <si>
    <t xml:space="preserve">1.254</t>
  </si>
  <si>
    <t xml:space="preserve">1.253</t>
  </si>
  <si>
    <t xml:space="preserve">1.176 </t>
  </si>
  <si>
    <t xml:space="preserve">1.180</t>
  </si>
  <si>
    <t xml:space="preserve">1.171 </t>
  </si>
  <si>
    <t xml:space="preserve">1.179 </t>
  </si>
  <si>
    <t xml:space="preserve">1.173 </t>
  </si>
  <si>
    <t xml:space="preserve">1.166</t>
  </si>
  <si>
    <t xml:space="preserve">1.177</t>
  </si>
  <si>
    <t xml:space="preserve">1.169 </t>
  </si>
  <si>
    <t xml:space="preserve">1.183</t>
  </si>
  <si>
    <t xml:space="preserve">1.175 </t>
  </si>
  <si>
    <t xml:space="preserve">1.187</t>
  </si>
  <si>
    <t xml:space="preserve">1.165 </t>
  </si>
  <si>
    <t>2#墩</t>
  </si>
  <si>
    <t>3#墩</t>
  </si>
  <si>
    <t>5#墩</t>
  </si>
  <si>
    <t>4#墩</t>
  </si>
  <si>
    <t>BP神经网络计算值</t>
  </si>
  <si>
    <t>固定随机数</t>
  </si>
  <si>
    <t>误差（%）</t>
  </si>
  <si>
    <t>固定随机数误差(%)</t>
  </si>
  <si>
    <t>实测值</t>
  </si>
  <si>
    <t>计算值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</si>
</sst>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0_ "/>
  </numFmts>
  <fonts count="25"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2"/>
      <color rgb="FF000000"/>
      <name val="KaiTi_GB2312"/>
      <charset val="134"/>
    </font>
    <font>
      <sz val="12"/>
      <color rgb="FF000000"/>
      <name val="楷体_GB2312"/>
      <charset val="134"/>
    </font>
    <font>
      <b/>
      <sz val="12"/>
      <color rgb="FF000000"/>
      <name val="楷体_GB2312"/>
      <charset val="134"/>
    </font>
    <font>
      <sz val="12"/>
      <color theme="1"/>
      <name val="楷体_GB2312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3" fillId="15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" borderId="14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8" fillId="0" borderId="20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18" borderId="21" applyNumberFormat="0" applyAlignment="0" applyProtection="0">
      <alignment vertical="center"/>
    </xf>
    <xf numFmtId="0" fontId="14" fillId="18" borderId="16" applyNumberFormat="0" applyAlignment="0" applyProtection="0">
      <alignment vertical="center"/>
    </xf>
    <xf numFmtId="0" fontId="10" fillId="9" borderId="15" applyNumberForma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horizontal="left" vertical="center" wrapText="1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2" fillId="0" borderId="1" xfId="0" applyFont="1" applyBorder="1" applyAlignment="1">
      <alignment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2" fillId="0" borderId="1" xfId="0" applyFont="1" applyBorder="1" applyAlignment="1" quotePrefix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'2018行列转换'!$I$1</c:f>
              <c:strCache>
                <c:ptCount val="1"/>
                <c:pt idx="0">
                  <c:v>2#墩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'2018行列转换'!$H$2:$H$149</c:f>
              <c:numCache>
                <c:formatCode>General</c:formatCode>
                <c:ptCount val="148"/>
                <c:pt idx="0">
                  <c:v>1.1</c:v>
                </c:pt>
                <c:pt idx="1">
                  <c:v>1.4</c:v>
                </c:pt>
                <c:pt idx="2">
                  <c:v>1.6</c:v>
                </c:pt>
                <c:pt idx="3">
                  <c:v>1.9</c:v>
                </c:pt>
                <c:pt idx="4">
                  <c:v>1.12</c:v>
                </c:pt>
                <c:pt idx="5">
                  <c:v>1.15</c:v>
                </c:pt>
                <c:pt idx="6">
                  <c:v>1.17</c:v>
                </c:pt>
                <c:pt idx="7">
                  <c:v>1.19</c:v>
                </c:pt>
                <c:pt idx="8">
                  <c:v>1.22</c:v>
                </c:pt>
                <c:pt idx="9">
                  <c:v>1.24</c:v>
                </c:pt>
                <c:pt idx="10">
                  <c:v>1.26</c:v>
                </c:pt>
                <c:pt idx="11">
                  <c:v>1.28</c:v>
                </c:pt>
                <c:pt idx="12">
                  <c:v>1.3</c:v>
                </c:pt>
                <c:pt idx="13">
                  <c:v>2.1</c:v>
                </c:pt>
                <c:pt idx="14">
                  <c:v>2.4</c:v>
                </c:pt>
                <c:pt idx="15">
                  <c:v>2.6</c:v>
                </c:pt>
                <c:pt idx="16">
                  <c:v>2.26</c:v>
                </c:pt>
                <c:pt idx="17">
                  <c:v>2.28</c:v>
                </c:pt>
                <c:pt idx="18">
                  <c:v>3.2</c:v>
                </c:pt>
                <c:pt idx="19">
                  <c:v>3.5</c:v>
                </c:pt>
                <c:pt idx="20">
                  <c:v>3.7</c:v>
                </c:pt>
                <c:pt idx="21">
                  <c:v>3.9</c:v>
                </c:pt>
                <c:pt idx="22">
                  <c:v>3.12</c:v>
                </c:pt>
                <c:pt idx="23">
                  <c:v>3.14</c:v>
                </c:pt>
                <c:pt idx="24">
                  <c:v>3.16</c:v>
                </c:pt>
                <c:pt idx="25">
                  <c:v>3.19</c:v>
                </c:pt>
                <c:pt idx="26">
                  <c:v>3.21</c:v>
                </c:pt>
                <c:pt idx="27">
                  <c:v>3.23</c:v>
                </c:pt>
                <c:pt idx="28">
                  <c:v>3.25</c:v>
                </c:pt>
                <c:pt idx="29">
                  <c:v>3.27</c:v>
                </c:pt>
                <c:pt idx="30">
                  <c:v>3.3</c:v>
                </c:pt>
                <c:pt idx="31">
                  <c:v>4.1</c:v>
                </c:pt>
                <c:pt idx="32">
                  <c:v>4.3</c:v>
                </c:pt>
                <c:pt idx="33">
                  <c:v>4.5</c:v>
                </c:pt>
                <c:pt idx="34">
                  <c:v>4.8</c:v>
                </c:pt>
                <c:pt idx="35">
                  <c:v>4.1</c:v>
                </c:pt>
                <c:pt idx="36">
                  <c:v>4.13</c:v>
                </c:pt>
                <c:pt idx="37">
                  <c:v>4.15</c:v>
                </c:pt>
                <c:pt idx="38">
                  <c:v>4.17</c:v>
                </c:pt>
                <c:pt idx="39">
                  <c:v>4.19</c:v>
                </c:pt>
                <c:pt idx="40">
                  <c:v>4.21</c:v>
                </c:pt>
                <c:pt idx="41">
                  <c:v>4.24</c:v>
                </c:pt>
                <c:pt idx="42">
                  <c:v>4.27</c:v>
                </c:pt>
                <c:pt idx="43">
                  <c:v>5.1</c:v>
                </c:pt>
                <c:pt idx="44">
                  <c:v>5.3</c:v>
                </c:pt>
                <c:pt idx="45">
                  <c:v>5.5</c:v>
                </c:pt>
                <c:pt idx="46">
                  <c:v>5.7</c:v>
                </c:pt>
                <c:pt idx="47">
                  <c:v>5.9</c:v>
                </c:pt>
                <c:pt idx="48">
                  <c:v>5.11</c:v>
                </c:pt>
                <c:pt idx="49">
                  <c:v>5.13</c:v>
                </c:pt>
                <c:pt idx="50">
                  <c:v>5.15</c:v>
                </c:pt>
                <c:pt idx="51">
                  <c:v>5.17</c:v>
                </c:pt>
                <c:pt idx="52">
                  <c:v>5.19</c:v>
                </c:pt>
                <c:pt idx="53">
                  <c:v>5.21</c:v>
                </c:pt>
                <c:pt idx="54">
                  <c:v>5.24</c:v>
                </c:pt>
                <c:pt idx="55">
                  <c:v>5.26</c:v>
                </c:pt>
                <c:pt idx="56">
                  <c:v>5.28</c:v>
                </c:pt>
                <c:pt idx="57">
                  <c:v>5.3</c:v>
                </c:pt>
                <c:pt idx="58">
                  <c:v>6.02</c:v>
                </c:pt>
                <c:pt idx="59">
                  <c:v>6.04</c:v>
                </c:pt>
                <c:pt idx="60">
                  <c:v>6.07</c:v>
                </c:pt>
                <c:pt idx="61">
                  <c:v>6.1</c:v>
                </c:pt>
                <c:pt idx="62">
                  <c:v>6.12</c:v>
                </c:pt>
                <c:pt idx="63">
                  <c:v>6.14</c:v>
                </c:pt>
                <c:pt idx="64">
                  <c:v>6.16</c:v>
                </c:pt>
                <c:pt idx="65">
                  <c:v>6.19</c:v>
                </c:pt>
                <c:pt idx="66">
                  <c:v>6.22</c:v>
                </c:pt>
                <c:pt idx="67">
                  <c:v>6.24</c:v>
                </c:pt>
                <c:pt idx="68">
                  <c:v>6.26</c:v>
                </c:pt>
                <c:pt idx="69">
                  <c:v>6.29</c:v>
                </c:pt>
                <c:pt idx="70">
                  <c:v>7.01</c:v>
                </c:pt>
                <c:pt idx="71">
                  <c:v>7.03</c:v>
                </c:pt>
                <c:pt idx="72">
                  <c:v>7.05</c:v>
                </c:pt>
                <c:pt idx="73">
                  <c:v>7.08</c:v>
                </c:pt>
                <c:pt idx="74">
                  <c:v>7.1</c:v>
                </c:pt>
                <c:pt idx="75">
                  <c:v>7.12</c:v>
                </c:pt>
                <c:pt idx="76">
                  <c:v>7.15</c:v>
                </c:pt>
                <c:pt idx="77">
                  <c:v>7.17</c:v>
                </c:pt>
                <c:pt idx="78">
                  <c:v>7.2</c:v>
                </c:pt>
                <c:pt idx="79">
                  <c:v>7.22</c:v>
                </c:pt>
                <c:pt idx="80">
                  <c:v>7.25</c:v>
                </c:pt>
                <c:pt idx="81">
                  <c:v>7.27</c:v>
                </c:pt>
                <c:pt idx="82">
                  <c:v>7.29</c:v>
                </c:pt>
                <c:pt idx="83">
                  <c:v>8.1</c:v>
                </c:pt>
                <c:pt idx="84">
                  <c:v>8.3</c:v>
                </c:pt>
                <c:pt idx="85">
                  <c:v>8.5</c:v>
                </c:pt>
                <c:pt idx="86">
                  <c:v>8.8</c:v>
                </c:pt>
                <c:pt idx="87">
                  <c:v>8.1</c:v>
                </c:pt>
                <c:pt idx="88">
                  <c:v>8.12</c:v>
                </c:pt>
                <c:pt idx="89">
                  <c:v>8.15</c:v>
                </c:pt>
                <c:pt idx="90">
                  <c:v>8.17</c:v>
                </c:pt>
                <c:pt idx="91">
                  <c:v>8.19</c:v>
                </c:pt>
                <c:pt idx="92">
                  <c:v>8.22</c:v>
                </c:pt>
                <c:pt idx="93">
                  <c:v>8.24</c:v>
                </c:pt>
                <c:pt idx="94">
                  <c:v>8.27</c:v>
                </c:pt>
                <c:pt idx="95">
                  <c:v>8.29</c:v>
                </c:pt>
                <c:pt idx="96">
                  <c:v>8.31</c:v>
                </c:pt>
                <c:pt idx="97">
                  <c:v>9.2</c:v>
                </c:pt>
                <c:pt idx="98">
                  <c:v>9.4</c:v>
                </c:pt>
                <c:pt idx="99">
                  <c:v>9.7</c:v>
                </c:pt>
                <c:pt idx="100">
                  <c:v>9.9</c:v>
                </c:pt>
                <c:pt idx="101">
                  <c:v>9.11</c:v>
                </c:pt>
                <c:pt idx="102">
                  <c:v>9.14</c:v>
                </c:pt>
                <c:pt idx="103">
                  <c:v>9.16</c:v>
                </c:pt>
                <c:pt idx="104">
                  <c:v>9.18</c:v>
                </c:pt>
                <c:pt idx="105">
                  <c:v>9.21</c:v>
                </c:pt>
                <c:pt idx="106">
                  <c:v>9.23</c:v>
                </c:pt>
                <c:pt idx="107">
                  <c:v>9.25</c:v>
                </c:pt>
                <c:pt idx="108">
                  <c:v>9.27</c:v>
                </c:pt>
                <c:pt idx="109">
                  <c:v>9.29</c:v>
                </c:pt>
                <c:pt idx="110">
                  <c:v>10.2</c:v>
                </c:pt>
                <c:pt idx="111">
                  <c:v>10.5</c:v>
                </c:pt>
                <c:pt idx="112">
                  <c:v>10.7</c:v>
                </c:pt>
                <c:pt idx="113">
                  <c:v>10.9</c:v>
                </c:pt>
                <c:pt idx="114">
                  <c:v>10.11</c:v>
                </c:pt>
                <c:pt idx="115">
                  <c:v>10.15</c:v>
                </c:pt>
                <c:pt idx="116">
                  <c:v>10.17</c:v>
                </c:pt>
                <c:pt idx="117">
                  <c:v>10.19</c:v>
                </c:pt>
                <c:pt idx="118">
                  <c:v>10.21</c:v>
                </c:pt>
                <c:pt idx="119">
                  <c:v>10.23</c:v>
                </c:pt>
                <c:pt idx="120">
                  <c:v>10.26</c:v>
                </c:pt>
                <c:pt idx="121">
                  <c:v>10.28</c:v>
                </c:pt>
                <c:pt idx="122">
                  <c:v>10.3</c:v>
                </c:pt>
                <c:pt idx="123">
                  <c:v>11.2</c:v>
                </c:pt>
                <c:pt idx="124">
                  <c:v>11.4</c:v>
                </c:pt>
                <c:pt idx="125">
                  <c:v>11.6</c:v>
                </c:pt>
                <c:pt idx="126">
                  <c:v>11.9</c:v>
                </c:pt>
                <c:pt idx="127">
                  <c:v>11.11</c:v>
                </c:pt>
                <c:pt idx="128">
                  <c:v>11.13</c:v>
                </c:pt>
                <c:pt idx="129">
                  <c:v>11.16</c:v>
                </c:pt>
                <c:pt idx="130">
                  <c:v>11.18</c:v>
                </c:pt>
                <c:pt idx="131">
                  <c:v>11.2</c:v>
                </c:pt>
                <c:pt idx="132">
                  <c:v>11.23</c:v>
                </c:pt>
                <c:pt idx="133">
                  <c:v>11.25</c:v>
                </c:pt>
                <c:pt idx="134">
                  <c:v>11.27</c:v>
                </c:pt>
                <c:pt idx="135">
                  <c:v>11.3</c:v>
                </c:pt>
                <c:pt idx="136">
                  <c:v>12.2</c:v>
                </c:pt>
                <c:pt idx="137">
                  <c:v>12.4</c:v>
                </c:pt>
                <c:pt idx="138">
                  <c:v>12.7</c:v>
                </c:pt>
                <c:pt idx="139">
                  <c:v>12.9</c:v>
                </c:pt>
                <c:pt idx="140">
                  <c:v>12.11</c:v>
                </c:pt>
                <c:pt idx="141">
                  <c:v>12.14</c:v>
                </c:pt>
                <c:pt idx="142">
                  <c:v>12.16</c:v>
                </c:pt>
                <c:pt idx="143">
                  <c:v>12.18</c:v>
                </c:pt>
                <c:pt idx="144">
                  <c:v>12.21</c:v>
                </c:pt>
                <c:pt idx="145">
                  <c:v>12.23</c:v>
                </c:pt>
                <c:pt idx="146">
                  <c:v>12.25</c:v>
                </c:pt>
                <c:pt idx="147">
                  <c:v>12.28</c:v>
                </c:pt>
              </c:numCache>
            </c:numRef>
          </c:cat>
          <c:val>
            <c:numRef>
              <c:f>'2018行列转换'!$I$2:$I$149</c:f>
              <c:numCache>
                <c:formatCode>General</c:formatCode>
                <c:ptCount val="148"/>
                <c:pt idx="0">
                  <c:v>-4.302</c:v>
                </c:pt>
                <c:pt idx="1">
                  <c:v>-4.28</c:v>
                </c:pt>
                <c:pt idx="2">
                  <c:v>-4.273</c:v>
                </c:pt>
                <c:pt idx="3">
                  <c:v>-4.295</c:v>
                </c:pt>
                <c:pt idx="4">
                  <c:v>-4.317</c:v>
                </c:pt>
                <c:pt idx="5">
                  <c:v>-4.273</c:v>
                </c:pt>
                <c:pt idx="6">
                  <c:v>-4.313</c:v>
                </c:pt>
                <c:pt idx="7">
                  <c:v>-4.35</c:v>
                </c:pt>
                <c:pt idx="8">
                  <c:v>-4.328</c:v>
                </c:pt>
                <c:pt idx="9">
                  <c:v>-4.31</c:v>
                </c:pt>
                <c:pt idx="10">
                  <c:v>-4.328</c:v>
                </c:pt>
                <c:pt idx="11">
                  <c:v>-4.328</c:v>
                </c:pt>
                <c:pt idx="12">
                  <c:v>-4.302</c:v>
                </c:pt>
                <c:pt idx="13">
                  <c:v>-4.302</c:v>
                </c:pt>
                <c:pt idx="14">
                  <c:v>-4.339</c:v>
                </c:pt>
                <c:pt idx="15">
                  <c:v>-4.306</c:v>
                </c:pt>
                <c:pt idx="16">
                  <c:v>-4.321</c:v>
                </c:pt>
                <c:pt idx="17">
                  <c:v>-4.302</c:v>
                </c:pt>
                <c:pt idx="18">
                  <c:v>-4.347</c:v>
                </c:pt>
                <c:pt idx="19">
                  <c:v>-4.321</c:v>
                </c:pt>
                <c:pt idx="20">
                  <c:v>-4.317</c:v>
                </c:pt>
                <c:pt idx="21">
                  <c:v>-4.313</c:v>
                </c:pt>
                <c:pt idx="22">
                  <c:v>-4.306</c:v>
                </c:pt>
                <c:pt idx="23">
                  <c:v>-4.313</c:v>
                </c:pt>
                <c:pt idx="24">
                  <c:v>-4.317</c:v>
                </c:pt>
                <c:pt idx="25">
                  <c:v>-4.321</c:v>
                </c:pt>
                <c:pt idx="26">
                  <c:v>-4.347</c:v>
                </c:pt>
                <c:pt idx="27">
                  <c:v>-4.317</c:v>
                </c:pt>
                <c:pt idx="28">
                  <c:v>-4.325</c:v>
                </c:pt>
                <c:pt idx="29">
                  <c:v>-4.313</c:v>
                </c:pt>
                <c:pt idx="30">
                  <c:v>-4.339</c:v>
                </c:pt>
                <c:pt idx="31">
                  <c:v>-4.336</c:v>
                </c:pt>
                <c:pt idx="32">
                  <c:v>-4.317</c:v>
                </c:pt>
                <c:pt idx="33">
                  <c:v>-4.317</c:v>
                </c:pt>
                <c:pt idx="34">
                  <c:v>-4.336</c:v>
                </c:pt>
                <c:pt idx="35">
                  <c:v>-4.321</c:v>
                </c:pt>
                <c:pt idx="36">
                  <c:v>-4.347</c:v>
                </c:pt>
                <c:pt idx="37">
                  <c:v>-4.339</c:v>
                </c:pt>
                <c:pt idx="38">
                  <c:v>-4.332</c:v>
                </c:pt>
                <c:pt idx="39">
                  <c:v>-4.317</c:v>
                </c:pt>
                <c:pt idx="40">
                  <c:v>-4.28</c:v>
                </c:pt>
                <c:pt idx="41">
                  <c:v>-4.313</c:v>
                </c:pt>
                <c:pt idx="42">
                  <c:v>-4.317</c:v>
                </c:pt>
                <c:pt idx="43">
                  <c:v>-4.343</c:v>
                </c:pt>
                <c:pt idx="44">
                  <c:v>-4.336</c:v>
                </c:pt>
                <c:pt idx="45">
                  <c:v>-4.328</c:v>
                </c:pt>
                <c:pt idx="46">
                  <c:v>-4.343</c:v>
                </c:pt>
                <c:pt idx="47">
                  <c:v>-4.339</c:v>
                </c:pt>
                <c:pt idx="48">
                  <c:v>-4.339</c:v>
                </c:pt>
                <c:pt idx="49">
                  <c:v>-4.341</c:v>
                </c:pt>
                <c:pt idx="50">
                  <c:v>-4.341</c:v>
                </c:pt>
                <c:pt idx="51">
                  <c:v>-4.339</c:v>
                </c:pt>
                <c:pt idx="52">
                  <c:v>-4.341</c:v>
                </c:pt>
                <c:pt idx="53">
                  <c:v>-4.341</c:v>
                </c:pt>
                <c:pt idx="54">
                  <c:v>-4.339</c:v>
                </c:pt>
                <c:pt idx="55">
                  <c:v>-4.339</c:v>
                </c:pt>
                <c:pt idx="56">
                  <c:v>-4.341</c:v>
                </c:pt>
                <c:pt idx="57">
                  <c:v>-4.341</c:v>
                </c:pt>
                <c:pt idx="58">
                  <c:v>-4.339</c:v>
                </c:pt>
                <c:pt idx="59">
                  <c:v>-4.338</c:v>
                </c:pt>
                <c:pt idx="60">
                  <c:v>-4.338</c:v>
                </c:pt>
                <c:pt idx="61">
                  <c:v>-4.339</c:v>
                </c:pt>
                <c:pt idx="62">
                  <c:v>-4.336</c:v>
                </c:pt>
                <c:pt idx="63">
                  <c:v>-4.338</c:v>
                </c:pt>
                <c:pt idx="64">
                  <c:v>-4.33</c:v>
                </c:pt>
                <c:pt idx="65">
                  <c:v>-4.322</c:v>
                </c:pt>
                <c:pt idx="66">
                  <c:v>-4.325</c:v>
                </c:pt>
                <c:pt idx="67">
                  <c:v>-4.339</c:v>
                </c:pt>
                <c:pt idx="68">
                  <c:v>-4.332</c:v>
                </c:pt>
                <c:pt idx="69">
                  <c:v>-4.317</c:v>
                </c:pt>
                <c:pt idx="70">
                  <c:v>-4.331</c:v>
                </c:pt>
                <c:pt idx="71">
                  <c:v>-4.332</c:v>
                </c:pt>
                <c:pt idx="72">
                  <c:v>-4.332</c:v>
                </c:pt>
                <c:pt idx="73">
                  <c:v>-4.331</c:v>
                </c:pt>
                <c:pt idx="74">
                  <c:v>-4.332</c:v>
                </c:pt>
                <c:pt idx="75">
                  <c:v>-4.328</c:v>
                </c:pt>
                <c:pt idx="76">
                  <c:v>-4.339</c:v>
                </c:pt>
                <c:pt idx="77">
                  <c:v>-4.332</c:v>
                </c:pt>
                <c:pt idx="78">
                  <c:v>-4.328</c:v>
                </c:pt>
                <c:pt idx="79">
                  <c:v>-4.322</c:v>
                </c:pt>
                <c:pt idx="80">
                  <c:v>-4.318</c:v>
                </c:pt>
                <c:pt idx="81">
                  <c:v>-4.332</c:v>
                </c:pt>
                <c:pt idx="82">
                  <c:v>-4.338</c:v>
                </c:pt>
                <c:pt idx="83">
                  <c:v>-4.332</c:v>
                </c:pt>
                <c:pt idx="84">
                  <c:v>-4.33</c:v>
                </c:pt>
                <c:pt idx="85">
                  <c:v>-4.338</c:v>
                </c:pt>
                <c:pt idx="86">
                  <c:v>-4.332</c:v>
                </c:pt>
                <c:pt idx="87">
                  <c:v>-4.33</c:v>
                </c:pt>
                <c:pt idx="88">
                  <c:v>-4.32</c:v>
                </c:pt>
                <c:pt idx="89">
                  <c:v>-4.318</c:v>
                </c:pt>
                <c:pt idx="90">
                  <c:v>-4.325</c:v>
                </c:pt>
                <c:pt idx="91">
                  <c:v>-4.322</c:v>
                </c:pt>
                <c:pt idx="92">
                  <c:v>-4.319</c:v>
                </c:pt>
                <c:pt idx="93">
                  <c:v>-4.325</c:v>
                </c:pt>
                <c:pt idx="94">
                  <c:v>-4.32</c:v>
                </c:pt>
                <c:pt idx="95">
                  <c:v>-4.328</c:v>
                </c:pt>
                <c:pt idx="96">
                  <c:v>-4.32</c:v>
                </c:pt>
                <c:pt idx="97">
                  <c:v>-4.326</c:v>
                </c:pt>
                <c:pt idx="98">
                  <c:v>-4.315</c:v>
                </c:pt>
                <c:pt idx="99">
                  <c:v>-4.32</c:v>
                </c:pt>
                <c:pt idx="100">
                  <c:v>-4.312</c:v>
                </c:pt>
                <c:pt idx="101">
                  <c:v>-4.319</c:v>
                </c:pt>
                <c:pt idx="102">
                  <c:v>-4.309</c:v>
                </c:pt>
                <c:pt idx="103">
                  <c:v>-4.329</c:v>
                </c:pt>
                <c:pt idx="104">
                  <c:v>-4.321</c:v>
                </c:pt>
                <c:pt idx="105">
                  <c:v>-4.32</c:v>
                </c:pt>
                <c:pt idx="106">
                  <c:v>-4.323</c:v>
                </c:pt>
                <c:pt idx="107">
                  <c:v>-4.32</c:v>
                </c:pt>
                <c:pt idx="108">
                  <c:v>-4.325</c:v>
                </c:pt>
                <c:pt idx="109">
                  <c:v>-4.32</c:v>
                </c:pt>
                <c:pt idx="110">
                  <c:v>-4.32</c:v>
                </c:pt>
                <c:pt idx="111">
                  <c:v>-4.329</c:v>
                </c:pt>
                <c:pt idx="112">
                  <c:v>-4.33</c:v>
                </c:pt>
                <c:pt idx="113">
                  <c:v>-4.318</c:v>
                </c:pt>
                <c:pt idx="114">
                  <c:v>-4.326</c:v>
                </c:pt>
                <c:pt idx="115">
                  <c:v>-4.33</c:v>
                </c:pt>
                <c:pt idx="116">
                  <c:v>-4.332</c:v>
                </c:pt>
                <c:pt idx="117">
                  <c:v>-4.336</c:v>
                </c:pt>
                <c:pt idx="118">
                  <c:v>-4.333</c:v>
                </c:pt>
                <c:pt idx="119">
                  <c:v>-4.335</c:v>
                </c:pt>
                <c:pt idx="120">
                  <c:v>-4.33</c:v>
                </c:pt>
                <c:pt idx="121">
                  <c:v>-4.331</c:v>
                </c:pt>
                <c:pt idx="122">
                  <c:v>-4.334</c:v>
                </c:pt>
                <c:pt idx="123">
                  <c:v>-4.335</c:v>
                </c:pt>
                <c:pt idx="124">
                  <c:v>-4.329</c:v>
                </c:pt>
                <c:pt idx="125">
                  <c:v>-4.337</c:v>
                </c:pt>
                <c:pt idx="126">
                  <c:v>-4.332</c:v>
                </c:pt>
                <c:pt idx="127">
                  <c:v>-4.341</c:v>
                </c:pt>
                <c:pt idx="128">
                  <c:v>-4.339</c:v>
                </c:pt>
                <c:pt idx="129">
                  <c:v>-4.343</c:v>
                </c:pt>
                <c:pt idx="130">
                  <c:v>-4.346</c:v>
                </c:pt>
                <c:pt idx="131">
                  <c:v>-4.339</c:v>
                </c:pt>
                <c:pt idx="132">
                  <c:v>-4.344</c:v>
                </c:pt>
                <c:pt idx="133">
                  <c:v>-4.337</c:v>
                </c:pt>
                <c:pt idx="134">
                  <c:v>-4.341</c:v>
                </c:pt>
                <c:pt idx="135">
                  <c:v>-4.346</c:v>
                </c:pt>
                <c:pt idx="136">
                  <c:v>-4.338</c:v>
                </c:pt>
                <c:pt idx="137">
                  <c:v>-4.34</c:v>
                </c:pt>
                <c:pt idx="138">
                  <c:v>-4.342</c:v>
                </c:pt>
                <c:pt idx="139">
                  <c:v>-4.341</c:v>
                </c:pt>
                <c:pt idx="140">
                  <c:v>-4.338</c:v>
                </c:pt>
                <c:pt idx="141">
                  <c:v>-4.342</c:v>
                </c:pt>
                <c:pt idx="142">
                  <c:v>-4.33</c:v>
                </c:pt>
                <c:pt idx="143">
                  <c:v>-4.335</c:v>
                </c:pt>
                <c:pt idx="144">
                  <c:v>-4.332</c:v>
                </c:pt>
                <c:pt idx="145">
                  <c:v>-4.343</c:v>
                </c:pt>
                <c:pt idx="146">
                  <c:v>-4.335</c:v>
                </c:pt>
                <c:pt idx="147">
                  <c:v>-4.342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02010253"/>
        <c:axId val="497700885"/>
      </c:lineChart>
      <c:catAx>
        <c:axId val="10201025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97700885"/>
        <c:crosses val="autoZero"/>
        <c:auto val="1"/>
        <c:lblAlgn val="ctr"/>
        <c:lblOffset val="100"/>
        <c:noMultiLvlLbl val="0"/>
      </c:catAx>
      <c:valAx>
        <c:axId val="49770088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201025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'2018行列转换'!$J$1</c:f>
              <c:strCache>
                <c:ptCount val="1"/>
                <c:pt idx="0">
                  <c:v>3#墩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'2018行列转换'!$H$2:$H$149</c:f>
              <c:numCache>
                <c:formatCode>General</c:formatCode>
                <c:ptCount val="148"/>
                <c:pt idx="0">
                  <c:v>1.1</c:v>
                </c:pt>
                <c:pt idx="1">
                  <c:v>1.4</c:v>
                </c:pt>
                <c:pt idx="2">
                  <c:v>1.6</c:v>
                </c:pt>
                <c:pt idx="3">
                  <c:v>1.9</c:v>
                </c:pt>
                <c:pt idx="4">
                  <c:v>1.12</c:v>
                </c:pt>
                <c:pt idx="5">
                  <c:v>1.15</c:v>
                </c:pt>
                <c:pt idx="6">
                  <c:v>1.17</c:v>
                </c:pt>
                <c:pt idx="7">
                  <c:v>1.19</c:v>
                </c:pt>
                <c:pt idx="8">
                  <c:v>1.22</c:v>
                </c:pt>
                <c:pt idx="9">
                  <c:v>1.24</c:v>
                </c:pt>
                <c:pt idx="10">
                  <c:v>1.26</c:v>
                </c:pt>
                <c:pt idx="11">
                  <c:v>1.28</c:v>
                </c:pt>
                <c:pt idx="12">
                  <c:v>1.3</c:v>
                </c:pt>
                <c:pt idx="13">
                  <c:v>2.1</c:v>
                </c:pt>
                <c:pt idx="14">
                  <c:v>2.4</c:v>
                </c:pt>
                <c:pt idx="15">
                  <c:v>2.6</c:v>
                </c:pt>
                <c:pt idx="16">
                  <c:v>2.26</c:v>
                </c:pt>
                <c:pt idx="17">
                  <c:v>2.28</c:v>
                </c:pt>
                <c:pt idx="18">
                  <c:v>3.2</c:v>
                </c:pt>
                <c:pt idx="19">
                  <c:v>3.5</c:v>
                </c:pt>
                <c:pt idx="20">
                  <c:v>3.7</c:v>
                </c:pt>
                <c:pt idx="21">
                  <c:v>3.9</c:v>
                </c:pt>
                <c:pt idx="22">
                  <c:v>3.12</c:v>
                </c:pt>
                <c:pt idx="23">
                  <c:v>3.14</c:v>
                </c:pt>
                <c:pt idx="24">
                  <c:v>3.16</c:v>
                </c:pt>
                <c:pt idx="25">
                  <c:v>3.19</c:v>
                </c:pt>
                <c:pt idx="26">
                  <c:v>3.21</c:v>
                </c:pt>
                <c:pt idx="27">
                  <c:v>3.23</c:v>
                </c:pt>
                <c:pt idx="28">
                  <c:v>3.25</c:v>
                </c:pt>
                <c:pt idx="29">
                  <c:v>3.27</c:v>
                </c:pt>
                <c:pt idx="30">
                  <c:v>3.3</c:v>
                </c:pt>
                <c:pt idx="31">
                  <c:v>4.1</c:v>
                </c:pt>
                <c:pt idx="32">
                  <c:v>4.3</c:v>
                </c:pt>
                <c:pt idx="33">
                  <c:v>4.5</c:v>
                </c:pt>
                <c:pt idx="34">
                  <c:v>4.8</c:v>
                </c:pt>
                <c:pt idx="35">
                  <c:v>4.1</c:v>
                </c:pt>
                <c:pt idx="36">
                  <c:v>4.13</c:v>
                </c:pt>
                <c:pt idx="37">
                  <c:v>4.15</c:v>
                </c:pt>
                <c:pt idx="38">
                  <c:v>4.17</c:v>
                </c:pt>
                <c:pt idx="39">
                  <c:v>4.19</c:v>
                </c:pt>
                <c:pt idx="40">
                  <c:v>4.21</c:v>
                </c:pt>
                <c:pt idx="41">
                  <c:v>4.24</c:v>
                </c:pt>
                <c:pt idx="42">
                  <c:v>4.27</c:v>
                </c:pt>
                <c:pt idx="43">
                  <c:v>5.1</c:v>
                </c:pt>
                <c:pt idx="44">
                  <c:v>5.3</c:v>
                </c:pt>
                <c:pt idx="45">
                  <c:v>5.5</c:v>
                </c:pt>
                <c:pt idx="46">
                  <c:v>5.7</c:v>
                </c:pt>
                <c:pt idx="47">
                  <c:v>5.9</c:v>
                </c:pt>
                <c:pt idx="48">
                  <c:v>5.11</c:v>
                </c:pt>
                <c:pt idx="49">
                  <c:v>5.13</c:v>
                </c:pt>
                <c:pt idx="50">
                  <c:v>5.15</c:v>
                </c:pt>
                <c:pt idx="51">
                  <c:v>5.17</c:v>
                </c:pt>
                <c:pt idx="52">
                  <c:v>5.19</c:v>
                </c:pt>
                <c:pt idx="53">
                  <c:v>5.21</c:v>
                </c:pt>
                <c:pt idx="54">
                  <c:v>5.24</c:v>
                </c:pt>
                <c:pt idx="55">
                  <c:v>5.26</c:v>
                </c:pt>
                <c:pt idx="56">
                  <c:v>5.28</c:v>
                </c:pt>
                <c:pt idx="57">
                  <c:v>5.3</c:v>
                </c:pt>
                <c:pt idx="58">
                  <c:v>6.02</c:v>
                </c:pt>
                <c:pt idx="59">
                  <c:v>6.04</c:v>
                </c:pt>
                <c:pt idx="60">
                  <c:v>6.07</c:v>
                </c:pt>
                <c:pt idx="61">
                  <c:v>6.1</c:v>
                </c:pt>
                <c:pt idx="62">
                  <c:v>6.12</c:v>
                </c:pt>
                <c:pt idx="63">
                  <c:v>6.14</c:v>
                </c:pt>
                <c:pt idx="64">
                  <c:v>6.16</c:v>
                </c:pt>
                <c:pt idx="65">
                  <c:v>6.19</c:v>
                </c:pt>
                <c:pt idx="66">
                  <c:v>6.22</c:v>
                </c:pt>
                <c:pt idx="67">
                  <c:v>6.24</c:v>
                </c:pt>
                <c:pt idx="68">
                  <c:v>6.26</c:v>
                </c:pt>
                <c:pt idx="69">
                  <c:v>6.29</c:v>
                </c:pt>
                <c:pt idx="70">
                  <c:v>7.01</c:v>
                </c:pt>
                <c:pt idx="71">
                  <c:v>7.03</c:v>
                </c:pt>
                <c:pt idx="72">
                  <c:v>7.05</c:v>
                </c:pt>
                <c:pt idx="73">
                  <c:v>7.08</c:v>
                </c:pt>
                <c:pt idx="74">
                  <c:v>7.1</c:v>
                </c:pt>
                <c:pt idx="75">
                  <c:v>7.12</c:v>
                </c:pt>
                <c:pt idx="76">
                  <c:v>7.15</c:v>
                </c:pt>
                <c:pt idx="77">
                  <c:v>7.17</c:v>
                </c:pt>
                <c:pt idx="78">
                  <c:v>7.2</c:v>
                </c:pt>
                <c:pt idx="79">
                  <c:v>7.22</c:v>
                </c:pt>
                <c:pt idx="80">
                  <c:v>7.25</c:v>
                </c:pt>
                <c:pt idx="81">
                  <c:v>7.27</c:v>
                </c:pt>
                <c:pt idx="82">
                  <c:v>7.29</c:v>
                </c:pt>
                <c:pt idx="83">
                  <c:v>8.1</c:v>
                </c:pt>
                <c:pt idx="84">
                  <c:v>8.3</c:v>
                </c:pt>
                <c:pt idx="85">
                  <c:v>8.5</c:v>
                </c:pt>
                <c:pt idx="86">
                  <c:v>8.8</c:v>
                </c:pt>
                <c:pt idx="87">
                  <c:v>8.1</c:v>
                </c:pt>
                <c:pt idx="88">
                  <c:v>8.12</c:v>
                </c:pt>
                <c:pt idx="89">
                  <c:v>8.15</c:v>
                </c:pt>
                <c:pt idx="90">
                  <c:v>8.17</c:v>
                </c:pt>
                <c:pt idx="91">
                  <c:v>8.19</c:v>
                </c:pt>
                <c:pt idx="92">
                  <c:v>8.22</c:v>
                </c:pt>
                <c:pt idx="93">
                  <c:v>8.24</c:v>
                </c:pt>
                <c:pt idx="94">
                  <c:v>8.27</c:v>
                </c:pt>
                <c:pt idx="95">
                  <c:v>8.29</c:v>
                </c:pt>
                <c:pt idx="96">
                  <c:v>8.31</c:v>
                </c:pt>
                <c:pt idx="97">
                  <c:v>9.2</c:v>
                </c:pt>
                <c:pt idx="98">
                  <c:v>9.4</c:v>
                </c:pt>
                <c:pt idx="99">
                  <c:v>9.7</c:v>
                </c:pt>
                <c:pt idx="100">
                  <c:v>9.9</c:v>
                </c:pt>
                <c:pt idx="101">
                  <c:v>9.11</c:v>
                </c:pt>
                <c:pt idx="102">
                  <c:v>9.14</c:v>
                </c:pt>
                <c:pt idx="103">
                  <c:v>9.16</c:v>
                </c:pt>
                <c:pt idx="104">
                  <c:v>9.18</c:v>
                </c:pt>
                <c:pt idx="105">
                  <c:v>9.21</c:v>
                </c:pt>
                <c:pt idx="106">
                  <c:v>9.23</c:v>
                </c:pt>
                <c:pt idx="107">
                  <c:v>9.25</c:v>
                </c:pt>
                <c:pt idx="108">
                  <c:v>9.27</c:v>
                </c:pt>
                <c:pt idx="109">
                  <c:v>9.29</c:v>
                </c:pt>
                <c:pt idx="110">
                  <c:v>10.2</c:v>
                </c:pt>
                <c:pt idx="111">
                  <c:v>10.5</c:v>
                </c:pt>
                <c:pt idx="112">
                  <c:v>10.7</c:v>
                </c:pt>
                <c:pt idx="113">
                  <c:v>10.9</c:v>
                </c:pt>
                <c:pt idx="114">
                  <c:v>10.11</c:v>
                </c:pt>
                <c:pt idx="115">
                  <c:v>10.15</c:v>
                </c:pt>
                <c:pt idx="116">
                  <c:v>10.17</c:v>
                </c:pt>
                <c:pt idx="117">
                  <c:v>10.19</c:v>
                </c:pt>
                <c:pt idx="118">
                  <c:v>10.21</c:v>
                </c:pt>
                <c:pt idx="119">
                  <c:v>10.23</c:v>
                </c:pt>
                <c:pt idx="120">
                  <c:v>10.26</c:v>
                </c:pt>
                <c:pt idx="121">
                  <c:v>10.28</c:v>
                </c:pt>
                <c:pt idx="122">
                  <c:v>10.3</c:v>
                </c:pt>
                <c:pt idx="123">
                  <c:v>11.2</c:v>
                </c:pt>
                <c:pt idx="124">
                  <c:v>11.4</c:v>
                </c:pt>
                <c:pt idx="125">
                  <c:v>11.6</c:v>
                </c:pt>
                <c:pt idx="126">
                  <c:v>11.9</c:v>
                </c:pt>
                <c:pt idx="127">
                  <c:v>11.11</c:v>
                </c:pt>
                <c:pt idx="128">
                  <c:v>11.13</c:v>
                </c:pt>
                <c:pt idx="129">
                  <c:v>11.16</c:v>
                </c:pt>
                <c:pt idx="130">
                  <c:v>11.18</c:v>
                </c:pt>
                <c:pt idx="131">
                  <c:v>11.2</c:v>
                </c:pt>
                <c:pt idx="132">
                  <c:v>11.23</c:v>
                </c:pt>
                <c:pt idx="133">
                  <c:v>11.25</c:v>
                </c:pt>
                <c:pt idx="134">
                  <c:v>11.27</c:v>
                </c:pt>
                <c:pt idx="135">
                  <c:v>11.3</c:v>
                </c:pt>
                <c:pt idx="136">
                  <c:v>12.2</c:v>
                </c:pt>
                <c:pt idx="137">
                  <c:v>12.4</c:v>
                </c:pt>
                <c:pt idx="138">
                  <c:v>12.7</c:v>
                </c:pt>
                <c:pt idx="139">
                  <c:v>12.9</c:v>
                </c:pt>
                <c:pt idx="140">
                  <c:v>12.11</c:v>
                </c:pt>
                <c:pt idx="141">
                  <c:v>12.14</c:v>
                </c:pt>
                <c:pt idx="142">
                  <c:v>12.16</c:v>
                </c:pt>
                <c:pt idx="143">
                  <c:v>12.18</c:v>
                </c:pt>
                <c:pt idx="144">
                  <c:v>12.21</c:v>
                </c:pt>
                <c:pt idx="145">
                  <c:v>12.23</c:v>
                </c:pt>
                <c:pt idx="146">
                  <c:v>12.25</c:v>
                </c:pt>
                <c:pt idx="147">
                  <c:v>12.28</c:v>
                </c:pt>
              </c:numCache>
            </c:numRef>
          </c:cat>
          <c:val>
            <c:numRef>
              <c:f>'2018行列转换'!$J$2:$J$149</c:f>
              <c:numCache>
                <c:formatCode>General</c:formatCode>
                <c:ptCount val="148"/>
                <c:pt idx="0">
                  <c:v>-0.357</c:v>
                </c:pt>
                <c:pt idx="1">
                  <c:v>-0.346</c:v>
                </c:pt>
                <c:pt idx="2">
                  <c:v>-0.338</c:v>
                </c:pt>
                <c:pt idx="3">
                  <c:v>-0.357</c:v>
                </c:pt>
                <c:pt idx="4">
                  <c:v>-0.327</c:v>
                </c:pt>
                <c:pt idx="5">
                  <c:v>-0.335</c:v>
                </c:pt>
                <c:pt idx="6">
                  <c:v>-0.305</c:v>
                </c:pt>
                <c:pt idx="7">
                  <c:v>-0.338</c:v>
                </c:pt>
                <c:pt idx="8">
                  <c:v>-0.342</c:v>
                </c:pt>
                <c:pt idx="9">
                  <c:v>-0.346</c:v>
                </c:pt>
                <c:pt idx="10">
                  <c:v>-0.342</c:v>
                </c:pt>
                <c:pt idx="11">
                  <c:v>-0.342</c:v>
                </c:pt>
                <c:pt idx="12">
                  <c:v>-0.346</c:v>
                </c:pt>
                <c:pt idx="13">
                  <c:v>-0.346</c:v>
                </c:pt>
                <c:pt idx="14">
                  <c:v>-0.342</c:v>
                </c:pt>
                <c:pt idx="15">
                  <c:v>-0.342</c:v>
                </c:pt>
                <c:pt idx="16">
                  <c:v>-0.346</c:v>
                </c:pt>
                <c:pt idx="17">
                  <c:v>-0.346</c:v>
                </c:pt>
                <c:pt idx="18">
                  <c:v>-0.349</c:v>
                </c:pt>
                <c:pt idx="19">
                  <c:v>-0.357</c:v>
                </c:pt>
                <c:pt idx="20">
                  <c:v>-0.342</c:v>
                </c:pt>
                <c:pt idx="21">
                  <c:v>-0.357</c:v>
                </c:pt>
                <c:pt idx="22">
                  <c:v>-0.335</c:v>
                </c:pt>
                <c:pt idx="23">
                  <c:v>-0.349</c:v>
                </c:pt>
                <c:pt idx="24">
                  <c:v>-0.357</c:v>
                </c:pt>
                <c:pt idx="25">
                  <c:v>-0.349</c:v>
                </c:pt>
                <c:pt idx="26">
                  <c:v>-0.346</c:v>
                </c:pt>
                <c:pt idx="27">
                  <c:v>-0.346</c:v>
                </c:pt>
                <c:pt idx="28">
                  <c:v>-0.357</c:v>
                </c:pt>
                <c:pt idx="29">
                  <c:v>-0.349</c:v>
                </c:pt>
                <c:pt idx="30">
                  <c:v>-0.36</c:v>
                </c:pt>
                <c:pt idx="31">
                  <c:v>-0.357</c:v>
                </c:pt>
                <c:pt idx="32">
                  <c:v>-0.342</c:v>
                </c:pt>
                <c:pt idx="33">
                  <c:v>-0.346</c:v>
                </c:pt>
                <c:pt idx="34">
                  <c:v>-0.36</c:v>
                </c:pt>
                <c:pt idx="35">
                  <c:v>-0.349</c:v>
                </c:pt>
                <c:pt idx="36">
                  <c:v>-0.357</c:v>
                </c:pt>
                <c:pt idx="37">
                  <c:v>-0.353</c:v>
                </c:pt>
                <c:pt idx="38">
                  <c:v>-0.349</c:v>
                </c:pt>
                <c:pt idx="39">
                  <c:v>-0.335</c:v>
                </c:pt>
                <c:pt idx="40">
                  <c:v>-0.32</c:v>
                </c:pt>
                <c:pt idx="41">
                  <c:v>-0.342</c:v>
                </c:pt>
                <c:pt idx="42">
                  <c:v>-0.346</c:v>
                </c:pt>
                <c:pt idx="43">
                  <c:v>-0.349</c:v>
                </c:pt>
                <c:pt idx="44">
                  <c:v>-0.357</c:v>
                </c:pt>
                <c:pt idx="45">
                  <c:v>-0.357</c:v>
                </c:pt>
                <c:pt idx="46">
                  <c:v>-0.349</c:v>
                </c:pt>
                <c:pt idx="47">
                  <c:v>-0.349</c:v>
                </c:pt>
                <c:pt idx="48">
                  <c:v>-0.346</c:v>
                </c:pt>
                <c:pt idx="49">
                  <c:v>-0.348</c:v>
                </c:pt>
                <c:pt idx="50">
                  <c:v>-0.347</c:v>
                </c:pt>
                <c:pt idx="51">
                  <c:v>-0.349</c:v>
                </c:pt>
                <c:pt idx="52">
                  <c:v>-0.348</c:v>
                </c:pt>
                <c:pt idx="53">
                  <c:v>-0.347</c:v>
                </c:pt>
                <c:pt idx="54">
                  <c:v>-0.349</c:v>
                </c:pt>
                <c:pt idx="55">
                  <c:v>-0.348</c:v>
                </c:pt>
                <c:pt idx="56">
                  <c:v>-0.347</c:v>
                </c:pt>
                <c:pt idx="57">
                  <c:v>-0.349</c:v>
                </c:pt>
                <c:pt idx="58">
                  <c:v>-0.348</c:v>
                </c:pt>
                <c:pt idx="59">
                  <c:v>-0.35</c:v>
                </c:pt>
                <c:pt idx="60">
                  <c:v>-0.349</c:v>
                </c:pt>
                <c:pt idx="61">
                  <c:v>-0.349</c:v>
                </c:pt>
                <c:pt idx="62">
                  <c:v>-0.357</c:v>
                </c:pt>
                <c:pt idx="63">
                  <c:v>-0.349</c:v>
                </c:pt>
                <c:pt idx="64">
                  <c:v>-0.353</c:v>
                </c:pt>
                <c:pt idx="65">
                  <c:v>-0.349</c:v>
                </c:pt>
                <c:pt idx="66">
                  <c:v>-0.333</c:v>
                </c:pt>
                <c:pt idx="67">
                  <c:v>-0.353</c:v>
                </c:pt>
                <c:pt idx="68">
                  <c:v>-0.349</c:v>
                </c:pt>
                <c:pt idx="69">
                  <c:v>-0.335</c:v>
                </c:pt>
                <c:pt idx="70">
                  <c:v>-0.35</c:v>
                </c:pt>
                <c:pt idx="71">
                  <c:v>-0.349</c:v>
                </c:pt>
                <c:pt idx="72">
                  <c:v>-0.349</c:v>
                </c:pt>
                <c:pt idx="73">
                  <c:v>-0.346</c:v>
                </c:pt>
                <c:pt idx="74">
                  <c:v>-0.349</c:v>
                </c:pt>
                <c:pt idx="75">
                  <c:v>-0.341</c:v>
                </c:pt>
                <c:pt idx="76">
                  <c:v>-0.35</c:v>
                </c:pt>
                <c:pt idx="77">
                  <c:v>-0.343</c:v>
                </c:pt>
                <c:pt idx="78">
                  <c:v>-0.339</c:v>
                </c:pt>
                <c:pt idx="79">
                  <c:v>-0.333</c:v>
                </c:pt>
                <c:pt idx="80">
                  <c:v>-0.345</c:v>
                </c:pt>
                <c:pt idx="81">
                  <c:v>-0.336</c:v>
                </c:pt>
                <c:pt idx="82">
                  <c:v>-0.34</c:v>
                </c:pt>
                <c:pt idx="83">
                  <c:v>-0.34</c:v>
                </c:pt>
                <c:pt idx="84">
                  <c:v>-0.333</c:v>
                </c:pt>
                <c:pt idx="85">
                  <c:v>-0.34</c:v>
                </c:pt>
                <c:pt idx="86">
                  <c:v>-0.34</c:v>
                </c:pt>
                <c:pt idx="87">
                  <c:v>-0.333</c:v>
                </c:pt>
                <c:pt idx="88">
                  <c:v>-0.343</c:v>
                </c:pt>
                <c:pt idx="89">
                  <c:v>-0.349</c:v>
                </c:pt>
                <c:pt idx="90">
                  <c:v>-0.357</c:v>
                </c:pt>
                <c:pt idx="91">
                  <c:v>-0.345</c:v>
                </c:pt>
                <c:pt idx="92">
                  <c:v>-0.353</c:v>
                </c:pt>
                <c:pt idx="93">
                  <c:v>-0.356</c:v>
                </c:pt>
                <c:pt idx="94">
                  <c:v>-0.341</c:v>
                </c:pt>
                <c:pt idx="95">
                  <c:v>-0.35</c:v>
                </c:pt>
                <c:pt idx="96">
                  <c:v>-0.35</c:v>
                </c:pt>
                <c:pt idx="97">
                  <c:v>-0.34</c:v>
                </c:pt>
                <c:pt idx="98">
                  <c:v>-0.343</c:v>
                </c:pt>
                <c:pt idx="99">
                  <c:v>-0.349</c:v>
                </c:pt>
                <c:pt idx="100">
                  <c:v>-0.351</c:v>
                </c:pt>
                <c:pt idx="101">
                  <c:v>-0.353</c:v>
                </c:pt>
                <c:pt idx="102">
                  <c:v>-0.356</c:v>
                </c:pt>
                <c:pt idx="103">
                  <c:v>-0.341</c:v>
                </c:pt>
                <c:pt idx="104">
                  <c:v>-0.353</c:v>
                </c:pt>
                <c:pt idx="105">
                  <c:v>-0.35</c:v>
                </c:pt>
                <c:pt idx="106">
                  <c:v>-0.348</c:v>
                </c:pt>
                <c:pt idx="107">
                  <c:v>-0.35</c:v>
                </c:pt>
                <c:pt idx="108">
                  <c:v>-0.348</c:v>
                </c:pt>
                <c:pt idx="109">
                  <c:v>-0.34</c:v>
                </c:pt>
                <c:pt idx="110">
                  <c:v>-0.355</c:v>
                </c:pt>
                <c:pt idx="111">
                  <c:v>-0.344</c:v>
                </c:pt>
                <c:pt idx="112">
                  <c:v>-0.333</c:v>
                </c:pt>
                <c:pt idx="113">
                  <c:v>-0.349</c:v>
                </c:pt>
                <c:pt idx="114">
                  <c:v>-0.347</c:v>
                </c:pt>
                <c:pt idx="115">
                  <c:v>-0.341</c:v>
                </c:pt>
                <c:pt idx="116">
                  <c:v>-0.34</c:v>
                </c:pt>
                <c:pt idx="117">
                  <c:v>-0.343</c:v>
                </c:pt>
                <c:pt idx="118">
                  <c:v>-0.341</c:v>
                </c:pt>
                <c:pt idx="119">
                  <c:v>-0.34</c:v>
                </c:pt>
                <c:pt idx="120">
                  <c:v>-0.333</c:v>
                </c:pt>
                <c:pt idx="121">
                  <c:v>-0.341</c:v>
                </c:pt>
                <c:pt idx="122">
                  <c:v>-0.34</c:v>
                </c:pt>
                <c:pt idx="123">
                  <c:v>-0.333</c:v>
                </c:pt>
                <c:pt idx="124">
                  <c:v>-0.339</c:v>
                </c:pt>
                <c:pt idx="125">
                  <c:v>-0.342</c:v>
                </c:pt>
                <c:pt idx="126">
                  <c:v>-0.353</c:v>
                </c:pt>
                <c:pt idx="127">
                  <c:v>-0.346</c:v>
                </c:pt>
                <c:pt idx="128">
                  <c:v>-0.34</c:v>
                </c:pt>
                <c:pt idx="129">
                  <c:v>-0.339</c:v>
                </c:pt>
                <c:pt idx="130">
                  <c:v>-0.352</c:v>
                </c:pt>
                <c:pt idx="131">
                  <c:v>-0.341</c:v>
                </c:pt>
                <c:pt idx="132">
                  <c:v>-0.338</c:v>
                </c:pt>
                <c:pt idx="133">
                  <c:v>-0.353</c:v>
                </c:pt>
                <c:pt idx="134">
                  <c:v>-0.334</c:v>
                </c:pt>
                <c:pt idx="135">
                  <c:v>-0.347</c:v>
                </c:pt>
                <c:pt idx="136">
                  <c:v>-0.351</c:v>
                </c:pt>
                <c:pt idx="137">
                  <c:v>-0.342</c:v>
                </c:pt>
                <c:pt idx="138">
                  <c:v>-0.348</c:v>
                </c:pt>
                <c:pt idx="139">
                  <c:v>-0.349</c:v>
                </c:pt>
                <c:pt idx="140">
                  <c:v>-0.343</c:v>
                </c:pt>
                <c:pt idx="141">
                  <c:v>-0.352</c:v>
                </c:pt>
                <c:pt idx="142">
                  <c:v>-0.341</c:v>
                </c:pt>
                <c:pt idx="143">
                  <c:v>-0.339</c:v>
                </c:pt>
                <c:pt idx="144">
                  <c:v>-0.352</c:v>
                </c:pt>
                <c:pt idx="145">
                  <c:v>-0.351</c:v>
                </c:pt>
                <c:pt idx="146">
                  <c:v>-0.346</c:v>
                </c:pt>
                <c:pt idx="147">
                  <c:v>-0.342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324269565"/>
        <c:axId val="425781905"/>
      </c:lineChart>
      <c:catAx>
        <c:axId val="32426956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5781905"/>
        <c:crosses val="autoZero"/>
        <c:auto val="1"/>
        <c:lblAlgn val="ctr"/>
        <c:lblOffset val="100"/>
        <c:noMultiLvlLbl val="0"/>
      </c:catAx>
      <c:valAx>
        <c:axId val="42578190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426956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'2018行列转换'!$L$1</c:f>
              <c:strCache>
                <c:ptCount val="1"/>
                <c:pt idx="0">
                  <c:v>4#墩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'2018行列转换'!$H$2:$H$149</c:f>
              <c:numCache>
                <c:formatCode>General</c:formatCode>
                <c:ptCount val="148"/>
                <c:pt idx="0">
                  <c:v>1.1</c:v>
                </c:pt>
                <c:pt idx="1">
                  <c:v>1.4</c:v>
                </c:pt>
                <c:pt idx="2">
                  <c:v>1.6</c:v>
                </c:pt>
                <c:pt idx="3">
                  <c:v>1.9</c:v>
                </c:pt>
                <c:pt idx="4">
                  <c:v>1.12</c:v>
                </c:pt>
                <c:pt idx="5">
                  <c:v>1.15</c:v>
                </c:pt>
                <c:pt idx="6">
                  <c:v>1.17</c:v>
                </c:pt>
                <c:pt idx="7">
                  <c:v>1.19</c:v>
                </c:pt>
                <c:pt idx="8">
                  <c:v>1.22</c:v>
                </c:pt>
                <c:pt idx="9">
                  <c:v>1.24</c:v>
                </c:pt>
                <c:pt idx="10">
                  <c:v>1.26</c:v>
                </c:pt>
                <c:pt idx="11">
                  <c:v>1.28</c:v>
                </c:pt>
                <c:pt idx="12">
                  <c:v>1.3</c:v>
                </c:pt>
                <c:pt idx="13">
                  <c:v>2.1</c:v>
                </c:pt>
                <c:pt idx="14">
                  <c:v>2.4</c:v>
                </c:pt>
                <c:pt idx="15">
                  <c:v>2.6</c:v>
                </c:pt>
                <c:pt idx="16">
                  <c:v>2.26</c:v>
                </c:pt>
                <c:pt idx="17">
                  <c:v>2.28</c:v>
                </c:pt>
                <c:pt idx="18">
                  <c:v>3.2</c:v>
                </c:pt>
                <c:pt idx="19">
                  <c:v>3.5</c:v>
                </c:pt>
                <c:pt idx="20">
                  <c:v>3.7</c:v>
                </c:pt>
                <c:pt idx="21">
                  <c:v>3.9</c:v>
                </c:pt>
                <c:pt idx="22">
                  <c:v>3.12</c:v>
                </c:pt>
                <c:pt idx="23">
                  <c:v>3.14</c:v>
                </c:pt>
                <c:pt idx="24">
                  <c:v>3.16</c:v>
                </c:pt>
                <c:pt idx="25">
                  <c:v>3.19</c:v>
                </c:pt>
                <c:pt idx="26">
                  <c:v>3.21</c:v>
                </c:pt>
                <c:pt idx="27">
                  <c:v>3.23</c:v>
                </c:pt>
                <c:pt idx="28">
                  <c:v>3.25</c:v>
                </c:pt>
                <c:pt idx="29">
                  <c:v>3.27</c:v>
                </c:pt>
                <c:pt idx="30">
                  <c:v>3.3</c:v>
                </c:pt>
                <c:pt idx="31">
                  <c:v>4.1</c:v>
                </c:pt>
                <c:pt idx="32">
                  <c:v>4.3</c:v>
                </c:pt>
                <c:pt idx="33">
                  <c:v>4.5</c:v>
                </c:pt>
                <c:pt idx="34">
                  <c:v>4.8</c:v>
                </c:pt>
                <c:pt idx="35">
                  <c:v>4.1</c:v>
                </c:pt>
                <c:pt idx="36">
                  <c:v>4.13</c:v>
                </c:pt>
                <c:pt idx="37">
                  <c:v>4.15</c:v>
                </c:pt>
                <c:pt idx="38">
                  <c:v>4.17</c:v>
                </c:pt>
                <c:pt idx="39">
                  <c:v>4.19</c:v>
                </c:pt>
                <c:pt idx="40">
                  <c:v>4.21</c:v>
                </c:pt>
                <c:pt idx="41">
                  <c:v>4.24</c:v>
                </c:pt>
                <c:pt idx="42">
                  <c:v>4.27</c:v>
                </c:pt>
                <c:pt idx="43">
                  <c:v>5.1</c:v>
                </c:pt>
                <c:pt idx="44">
                  <c:v>5.3</c:v>
                </c:pt>
                <c:pt idx="45">
                  <c:v>5.5</c:v>
                </c:pt>
                <c:pt idx="46">
                  <c:v>5.7</c:v>
                </c:pt>
                <c:pt idx="47">
                  <c:v>5.9</c:v>
                </c:pt>
                <c:pt idx="48">
                  <c:v>5.11</c:v>
                </c:pt>
                <c:pt idx="49">
                  <c:v>5.13</c:v>
                </c:pt>
                <c:pt idx="50">
                  <c:v>5.15</c:v>
                </c:pt>
                <c:pt idx="51">
                  <c:v>5.17</c:v>
                </c:pt>
                <c:pt idx="52">
                  <c:v>5.19</c:v>
                </c:pt>
                <c:pt idx="53">
                  <c:v>5.21</c:v>
                </c:pt>
                <c:pt idx="54">
                  <c:v>5.24</c:v>
                </c:pt>
                <c:pt idx="55">
                  <c:v>5.26</c:v>
                </c:pt>
                <c:pt idx="56">
                  <c:v>5.28</c:v>
                </c:pt>
                <c:pt idx="57">
                  <c:v>5.3</c:v>
                </c:pt>
                <c:pt idx="58">
                  <c:v>6.02</c:v>
                </c:pt>
                <c:pt idx="59">
                  <c:v>6.04</c:v>
                </c:pt>
                <c:pt idx="60">
                  <c:v>6.07</c:v>
                </c:pt>
                <c:pt idx="61">
                  <c:v>6.1</c:v>
                </c:pt>
                <c:pt idx="62">
                  <c:v>6.12</c:v>
                </c:pt>
                <c:pt idx="63">
                  <c:v>6.14</c:v>
                </c:pt>
                <c:pt idx="64">
                  <c:v>6.16</c:v>
                </c:pt>
                <c:pt idx="65">
                  <c:v>6.19</c:v>
                </c:pt>
                <c:pt idx="66">
                  <c:v>6.22</c:v>
                </c:pt>
                <c:pt idx="67">
                  <c:v>6.24</c:v>
                </c:pt>
                <c:pt idx="68">
                  <c:v>6.26</c:v>
                </c:pt>
                <c:pt idx="69">
                  <c:v>6.29</c:v>
                </c:pt>
                <c:pt idx="70">
                  <c:v>7.01</c:v>
                </c:pt>
                <c:pt idx="71">
                  <c:v>7.03</c:v>
                </c:pt>
                <c:pt idx="72">
                  <c:v>7.05</c:v>
                </c:pt>
                <c:pt idx="73">
                  <c:v>7.08</c:v>
                </c:pt>
                <c:pt idx="74">
                  <c:v>7.1</c:v>
                </c:pt>
                <c:pt idx="75">
                  <c:v>7.12</c:v>
                </c:pt>
                <c:pt idx="76">
                  <c:v>7.15</c:v>
                </c:pt>
                <c:pt idx="77">
                  <c:v>7.17</c:v>
                </c:pt>
                <c:pt idx="78">
                  <c:v>7.2</c:v>
                </c:pt>
                <c:pt idx="79">
                  <c:v>7.22</c:v>
                </c:pt>
                <c:pt idx="80">
                  <c:v>7.25</c:v>
                </c:pt>
                <c:pt idx="81">
                  <c:v>7.27</c:v>
                </c:pt>
                <c:pt idx="82">
                  <c:v>7.29</c:v>
                </c:pt>
                <c:pt idx="83">
                  <c:v>8.1</c:v>
                </c:pt>
                <c:pt idx="84">
                  <c:v>8.3</c:v>
                </c:pt>
                <c:pt idx="85">
                  <c:v>8.5</c:v>
                </c:pt>
                <c:pt idx="86">
                  <c:v>8.8</c:v>
                </c:pt>
                <c:pt idx="87">
                  <c:v>8.1</c:v>
                </c:pt>
                <c:pt idx="88">
                  <c:v>8.12</c:v>
                </c:pt>
                <c:pt idx="89">
                  <c:v>8.15</c:v>
                </c:pt>
                <c:pt idx="90">
                  <c:v>8.17</c:v>
                </c:pt>
                <c:pt idx="91">
                  <c:v>8.19</c:v>
                </c:pt>
                <c:pt idx="92">
                  <c:v>8.22</c:v>
                </c:pt>
                <c:pt idx="93">
                  <c:v>8.24</c:v>
                </c:pt>
                <c:pt idx="94">
                  <c:v>8.27</c:v>
                </c:pt>
                <c:pt idx="95">
                  <c:v>8.29</c:v>
                </c:pt>
                <c:pt idx="96">
                  <c:v>8.31</c:v>
                </c:pt>
                <c:pt idx="97">
                  <c:v>9.2</c:v>
                </c:pt>
                <c:pt idx="98">
                  <c:v>9.4</c:v>
                </c:pt>
                <c:pt idx="99">
                  <c:v>9.7</c:v>
                </c:pt>
                <c:pt idx="100">
                  <c:v>9.9</c:v>
                </c:pt>
                <c:pt idx="101">
                  <c:v>9.11</c:v>
                </c:pt>
                <c:pt idx="102">
                  <c:v>9.14</c:v>
                </c:pt>
                <c:pt idx="103">
                  <c:v>9.16</c:v>
                </c:pt>
                <c:pt idx="104">
                  <c:v>9.18</c:v>
                </c:pt>
                <c:pt idx="105">
                  <c:v>9.21</c:v>
                </c:pt>
                <c:pt idx="106">
                  <c:v>9.23</c:v>
                </c:pt>
                <c:pt idx="107">
                  <c:v>9.25</c:v>
                </c:pt>
                <c:pt idx="108">
                  <c:v>9.27</c:v>
                </c:pt>
                <c:pt idx="109">
                  <c:v>9.29</c:v>
                </c:pt>
                <c:pt idx="110">
                  <c:v>10.2</c:v>
                </c:pt>
                <c:pt idx="111">
                  <c:v>10.5</c:v>
                </c:pt>
                <c:pt idx="112">
                  <c:v>10.7</c:v>
                </c:pt>
                <c:pt idx="113">
                  <c:v>10.9</c:v>
                </c:pt>
                <c:pt idx="114">
                  <c:v>10.11</c:v>
                </c:pt>
                <c:pt idx="115">
                  <c:v>10.15</c:v>
                </c:pt>
                <c:pt idx="116">
                  <c:v>10.17</c:v>
                </c:pt>
                <c:pt idx="117">
                  <c:v>10.19</c:v>
                </c:pt>
                <c:pt idx="118">
                  <c:v>10.21</c:v>
                </c:pt>
                <c:pt idx="119">
                  <c:v>10.23</c:v>
                </c:pt>
                <c:pt idx="120">
                  <c:v>10.26</c:v>
                </c:pt>
                <c:pt idx="121">
                  <c:v>10.28</c:v>
                </c:pt>
                <c:pt idx="122">
                  <c:v>10.3</c:v>
                </c:pt>
                <c:pt idx="123">
                  <c:v>11.2</c:v>
                </c:pt>
                <c:pt idx="124">
                  <c:v>11.4</c:v>
                </c:pt>
                <c:pt idx="125">
                  <c:v>11.6</c:v>
                </c:pt>
                <c:pt idx="126">
                  <c:v>11.9</c:v>
                </c:pt>
                <c:pt idx="127">
                  <c:v>11.11</c:v>
                </c:pt>
                <c:pt idx="128">
                  <c:v>11.13</c:v>
                </c:pt>
                <c:pt idx="129">
                  <c:v>11.16</c:v>
                </c:pt>
                <c:pt idx="130">
                  <c:v>11.18</c:v>
                </c:pt>
                <c:pt idx="131">
                  <c:v>11.2</c:v>
                </c:pt>
                <c:pt idx="132">
                  <c:v>11.23</c:v>
                </c:pt>
                <c:pt idx="133">
                  <c:v>11.25</c:v>
                </c:pt>
                <c:pt idx="134">
                  <c:v>11.27</c:v>
                </c:pt>
                <c:pt idx="135">
                  <c:v>11.3</c:v>
                </c:pt>
                <c:pt idx="136">
                  <c:v>12.2</c:v>
                </c:pt>
                <c:pt idx="137">
                  <c:v>12.4</c:v>
                </c:pt>
                <c:pt idx="138">
                  <c:v>12.7</c:v>
                </c:pt>
                <c:pt idx="139">
                  <c:v>12.9</c:v>
                </c:pt>
                <c:pt idx="140">
                  <c:v>12.11</c:v>
                </c:pt>
                <c:pt idx="141">
                  <c:v>12.14</c:v>
                </c:pt>
                <c:pt idx="142">
                  <c:v>12.16</c:v>
                </c:pt>
                <c:pt idx="143">
                  <c:v>12.18</c:v>
                </c:pt>
                <c:pt idx="144">
                  <c:v>12.21</c:v>
                </c:pt>
                <c:pt idx="145">
                  <c:v>12.23</c:v>
                </c:pt>
                <c:pt idx="146">
                  <c:v>12.25</c:v>
                </c:pt>
                <c:pt idx="147">
                  <c:v>12.28</c:v>
                </c:pt>
              </c:numCache>
            </c:numRef>
          </c:cat>
          <c:val>
            <c:numRef>
              <c:f>'2018行列转换'!$L$2:$L$149</c:f>
              <c:numCache>
                <c:formatCode>General</c:formatCode>
                <c:ptCount val="148"/>
                <c:pt idx="0">
                  <c:v>0.337</c:v>
                </c:pt>
                <c:pt idx="1">
                  <c:v>0.326</c:v>
                </c:pt>
                <c:pt idx="2">
                  <c:v>0.322</c:v>
                </c:pt>
                <c:pt idx="3">
                  <c:v>0.333</c:v>
                </c:pt>
                <c:pt idx="4">
                  <c:v>0.315</c:v>
                </c:pt>
                <c:pt idx="5">
                  <c:v>0.351</c:v>
                </c:pt>
                <c:pt idx="6">
                  <c:v>0.34</c:v>
                </c:pt>
                <c:pt idx="7">
                  <c:v>0.351</c:v>
                </c:pt>
                <c:pt idx="8">
                  <c:v>0.351</c:v>
                </c:pt>
                <c:pt idx="9">
                  <c:v>0.348</c:v>
                </c:pt>
                <c:pt idx="10">
                  <c:v>0.351</c:v>
                </c:pt>
                <c:pt idx="11">
                  <c:v>0.34</c:v>
                </c:pt>
                <c:pt idx="12">
                  <c:v>0.351</c:v>
                </c:pt>
                <c:pt idx="13">
                  <c:v>0.351</c:v>
                </c:pt>
                <c:pt idx="14">
                  <c:v>0.33</c:v>
                </c:pt>
                <c:pt idx="15">
                  <c:v>0.344</c:v>
                </c:pt>
                <c:pt idx="16">
                  <c:v>0.348</c:v>
                </c:pt>
                <c:pt idx="17">
                  <c:v>0.351</c:v>
                </c:pt>
                <c:pt idx="18">
                  <c:v>0.348</c:v>
                </c:pt>
                <c:pt idx="19">
                  <c:v>0.34</c:v>
                </c:pt>
                <c:pt idx="20">
                  <c:v>0.351</c:v>
                </c:pt>
                <c:pt idx="21">
                  <c:v>0.348</c:v>
                </c:pt>
                <c:pt idx="22">
                  <c:v>0.351</c:v>
                </c:pt>
                <c:pt idx="23">
                  <c:v>0.337</c:v>
                </c:pt>
                <c:pt idx="24">
                  <c:v>0.351</c:v>
                </c:pt>
                <c:pt idx="25">
                  <c:v>0.344</c:v>
                </c:pt>
                <c:pt idx="26">
                  <c:v>0.348</c:v>
                </c:pt>
                <c:pt idx="27">
                  <c:v>0.351</c:v>
                </c:pt>
                <c:pt idx="28">
                  <c:v>0.337</c:v>
                </c:pt>
                <c:pt idx="29">
                  <c:v>0.348</c:v>
                </c:pt>
                <c:pt idx="30">
                  <c:v>0.351</c:v>
                </c:pt>
                <c:pt idx="31">
                  <c:v>0.333</c:v>
                </c:pt>
                <c:pt idx="32">
                  <c:v>0.351</c:v>
                </c:pt>
                <c:pt idx="33">
                  <c:v>0.344</c:v>
                </c:pt>
                <c:pt idx="34">
                  <c:v>0.351</c:v>
                </c:pt>
                <c:pt idx="35">
                  <c:v>0.337</c:v>
                </c:pt>
                <c:pt idx="36">
                  <c:v>0.351</c:v>
                </c:pt>
                <c:pt idx="37">
                  <c:v>0.34</c:v>
                </c:pt>
                <c:pt idx="38">
                  <c:v>0.348</c:v>
                </c:pt>
                <c:pt idx="39">
                  <c:v>0.33</c:v>
                </c:pt>
                <c:pt idx="40">
                  <c:v>0.337</c:v>
                </c:pt>
                <c:pt idx="41">
                  <c:v>0.33</c:v>
                </c:pt>
                <c:pt idx="42">
                  <c:v>0.34</c:v>
                </c:pt>
                <c:pt idx="43">
                  <c:v>0.34</c:v>
                </c:pt>
                <c:pt idx="44">
                  <c:v>0.33</c:v>
                </c:pt>
                <c:pt idx="45">
                  <c:v>0.337</c:v>
                </c:pt>
                <c:pt idx="46">
                  <c:v>0.359</c:v>
                </c:pt>
                <c:pt idx="47">
                  <c:v>0.359</c:v>
                </c:pt>
                <c:pt idx="48">
                  <c:v>0.359</c:v>
                </c:pt>
                <c:pt idx="49">
                  <c:v>0.359</c:v>
                </c:pt>
                <c:pt idx="50">
                  <c:v>0.359</c:v>
                </c:pt>
                <c:pt idx="51">
                  <c:v>0.359</c:v>
                </c:pt>
                <c:pt idx="52">
                  <c:v>0.359</c:v>
                </c:pt>
                <c:pt idx="53">
                  <c:v>0.359</c:v>
                </c:pt>
                <c:pt idx="54">
                  <c:v>0.359</c:v>
                </c:pt>
                <c:pt idx="55">
                  <c:v>0.357</c:v>
                </c:pt>
                <c:pt idx="56">
                  <c:v>0.359</c:v>
                </c:pt>
                <c:pt idx="57">
                  <c:v>0.355</c:v>
                </c:pt>
                <c:pt idx="58">
                  <c:v>0.357</c:v>
                </c:pt>
                <c:pt idx="59">
                  <c:v>0.356</c:v>
                </c:pt>
                <c:pt idx="60">
                  <c:v>0.355</c:v>
                </c:pt>
                <c:pt idx="61">
                  <c:v>0.359</c:v>
                </c:pt>
                <c:pt idx="62">
                  <c:v>0.33</c:v>
                </c:pt>
                <c:pt idx="63">
                  <c:v>0.355</c:v>
                </c:pt>
                <c:pt idx="64">
                  <c:v>0.34</c:v>
                </c:pt>
                <c:pt idx="65">
                  <c:v>0.343</c:v>
                </c:pt>
                <c:pt idx="66">
                  <c:v>0.35</c:v>
                </c:pt>
                <c:pt idx="67">
                  <c:v>0.34</c:v>
                </c:pt>
                <c:pt idx="68">
                  <c:v>0.348</c:v>
                </c:pt>
                <c:pt idx="69">
                  <c:v>0.33</c:v>
                </c:pt>
                <c:pt idx="70">
                  <c:v>0.346</c:v>
                </c:pt>
                <c:pt idx="71">
                  <c:v>0.348</c:v>
                </c:pt>
                <c:pt idx="72">
                  <c:v>0.347</c:v>
                </c:pt>
                <c:pt idx="73">
                  <c:v>0.342</c:v>
                </c:pt>
                <c:pt idx="74">
                  <c:v>0.348</c:v>
                </c:pt>
                <c:pt idx="75">
                  <c:v>0.341</c:v>
                </c:pt>
                <c:pt idx="76">
                  <c:v>0.343</c:v>
                </c:pt>
                <c:pt idx="77">
                  <c:v>0.34</c:v>
                </c:pt>
                <c:pt idx="78">
                  <c:v>0.333</c:v>
                </c:pt>
                <c:pt idx="79">
                  <c:v>0.322</c:v>
                </c:pt>
                <c:pt idx="80">
                  <c:v>0.33</c:v>
                </c:pt>
                <c:pt idx="81">
                  <c:v>0.338</c:v>
                </c:pt>
                <c:pt idx="82">
                  <c:v>0.335</c:v>
                </c:pt>
                <c:pt idx="83">
                  <c:v>0.328</c:v>
                </c:pt>
                <c:pt idx="84">
                  <c:v>0.33</c:v>
                </c:pt>
                <c:pt idx="85">
                  <c:v>0.335</c:v>
                </c:pt>
                <c:pt idx="86">
                  <c:v>0.328</c:v>
                </c:pt>
                <c:pt idx="87">
                  <c:v>0.33</c:v>
                </c:pt>
                <c:pt idx="88">
                  <c:v>0.337</c:v>
                </c:pt>
                <c:pt idx="89">
                  <c:v>0.33</c:v>
                </c:pt>
                <c:pt idx="90">
                  <c:v>0.337</c:v>
                </c:pt>
                <c:pt idx="91">
                  <c:v>0.339</c:v>
                </c:pt>
                <c:pt idx="92">
                  <c:v>0.336</c:v>
                </c:pt>
                <c:pt idx="93">
                  <c:v>0.334</c:v>
                </c:pt>
                <c:pt idx="94">
                  <c:v>0.341</c:v>
                </c:pt>
                <c:pt idx="95">
                  <c:v>0.33</c:v>
                </c:pt>
                <c:pt idx="96">
                  <c:v>0.334</c:v>
                </c:pt>
                <c:pt idx="97">
                  <c:v>0.347</c:v>
                </c:pt>
                <c:pt idx="98">
                  <c:v>0.33</c:v>
                </c:pt>
                <c:pt idx="99">
                  <c:v>0.34</c:v>
                </c:pt>
                <c:pt idx="100">
                  <c:v>0.337</c:v>
                </c:pt>
                <c:pt idx="101">
                  <c:v>0.336</c:v>
                </c:pt>
                <c:pt idx="102">
                  <c:v>0.341</c:v>
                </c:pt>
                <c:pt idx="103">
                  <c:v>0.331</c:v>
                </c:pt>
                <c:pt idx="104">
                  <c:v>0.336</c:v>
                </c:pt>
                <c:pt idx="105">
                  <c:v>0.329</c:v>
                </c:pt>
                <c:pt idx="106">
                  <c:v>0.33</c:v>
                </c:pt>
                <c:pt idx="107">
                  <c:v>0.336</c:v>
                </c:pt>
                <c:pt idx="108">
                  <c:v>0.339</c:v>
                </c:pt>
                <c:pt idx="109">
                  <c:v>0.333</c:v>
                </c:pt>
                <c:pt idx="110">
                  <c:v>0.341</c:v>
                </c:pt>
                <c:pt idx="111">
                  <c:v>0.339</c:v>
                </c:pt>
                <c:pt idx="112">
                  <c:v>0.337</c:v>
                </c:pt>
                <c:pt idx="113">
                  <c:v>0.34</c:v>
                </c:pt>
                <c:pt idx="114">
                  <c:v>0.337</c:v>
                </c:pt>
                <c:pt idx="115">
                  <c:v>0.33</c:v>
                </c:pt>
                <c:pt idx="116">
                  <c:v>0.328</c:v>
                </c:pt>
                <c:pt idx="117">
                  <c:v>0.335</c:v>
                </c:pt>
                <c:pt idx="118">
                  <c:v>0.332</c:v>
                </c:pt>
                <c:pt idx="119">
                  <c:v>0.328</c:v>
                </c:pt>
                <c:pt idx="120">
                  <c:v>0.33</c:v>
                </c:pt>
                <c:pt idx="121">
                  <c:v>0.335</c:v>
                </c:pt>
                <c:pt idx="122">
                  <c:v>0.331</c:v>
                </c:pt>
                <c:pt idx="123">
                  <c:v>0.214</c:v>
                </c:pt>
                <c:pt idx="124">
                  <c:v>0.339</c:v>
                </c:pt>
                <c:pt idx="125">
                  <c:v>0.333</c:v>
                </c:pt>
                <c:pt idx="126">
                  <c:v>0.328</c:v>
                </c:pt>
                <c:pt idx="127">
                  <c:v>0.342</c:v>
                </c:pt>
                <c:pt idx="128">
                  <c:v>0.33</c:v>
                </c:pt>
                <c:pt idx="129">
                  <c:v>0.329</c:v>
                </c:pt>
                <c:pt idx="130">
                  <c:v>0.332</c:v>
                </c:pt>
                <c:pt idx="131">
                  <c:v>0.338</c:v>
                </c:pt>
                <c:pt idx="132">
                  <c:v>0.349</c:v>
                </c:pt>
                <c:pt idx="133">
                  <c:v>0.345</c:v>
                </c:pt>
                <c:pt idx="134">
                  <c:v>0.331</c:v>
                </c:pt>
                <c:pt idx="135">
                  <c:v>0.353</c:v>
                </c:pt>
                <c:pt idx="136">
                  <c:v>0.343</c:v>
                </c:pt>
                <c:pt idx="137">
                  <c:v>0.338</c:v>
                </c:pt>
                <c:pt idx="138">
                  <c:v>0.346</c:v>
                </c:pt>
                <c:pt idx="139">
                  <c:v>0.348</c:v>
                </c:pt>
                <c:pt idx="140">
                  <c:v>0.343</c:v>
                </c:pt>
                <c:pt idx="141">
                  <c:v>0.339</c:v>
                </c:pt>
                <c:pt idx="142">
                  <c:v>0.345</c:v>
                </c:pt>
                <c:pt idx="143">
                  <c:v>0.331</c:v>
                </c:pt>
                <c:pt idx="144">
                  <c:v>0.353</c:v>
                </c:pt>
                <c:pt idx="145">
                  <c:v>0.334</c:v>
                </c:pt>
                <c:pt idx="146">
                  <c:v>0.341</c:v>
                </c:pt>
                <c:pt idx="147">
                  <c:v>0.347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29555968"/>
        <c:axId val="909221379"/>
      </c:lineChart>
      <c:catAx>
        <c:axId val="129555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9221379"/>
        <c:crosses val="autoZero"/>
        <c:auto val="1"/>
        <c:lblAlgn val="ctr"/>
        <c:lblOffset val="100"/>
        <c:noMultiLvlLbl val="0"/>
      </c:catAx>
      <c:valAx>
        <c:axId val="9092213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955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'2018行列转换'!$K$1</c:f>
              <c:strCache>
                <c:ptCount val="1"/>
                <c:pt idx="0">
                  <c:v>5#墩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'2018行列转换'!$H$2:$H$149</c:f>
              <c:numCache>
                <c:formatCode>General</c:formatCode>
                <c:ptCount val="148"/>
                <c:pt idx="0">
                  <c:v>1.1</c:v>
                </c:pt>
                <c:pt idx="1">
                  <c:v>1.4</c:v>
                </c:pt>
                <c:pt idx="2">
                  <c:v>1.6</c:v>
                </c:pt>
                <c:pt idx="3">
                  <c:v>1.9</c:v>
                </c:pt>
                <c:pt idx="4">
                  <c:v>1.12</c:v>
                </c:pt>
                <c:pt idx="5">
                  <c:v>1.15</c:v>
                </c:pt>
                <c:pt idx="6">
                  <c:v>1.17</c:v>
                </c:pt>
                <c:pt idx="7">
                  <c:v>1.19</c:v>
                </c:pt>
                <c:pt idx="8">
                  <c:v>1.22</c:v>
                </c:pt>
                <c:pt idx="9">
                  <c:v>1.24</c:v>
                </c:pt>
                <c:pt idx="10">
                  <c:v>1.26</c:v>
                </c:pt>
                <c:pt idx="11">
                  <c:v>1.28</c:v>
                </c:pt>
                <c:pt idx="12">
                  <c:v>1.3</c:v>
                </c:pt>
                <c:pt idx="13">
                  <c:v>2.1</c:v>
                </c:pt>
                <c:pt idx="14">
                  <c:v>2.4</c:v>
                </c:pt>
                <c:pt idx="15">
                  <c:v>2.6</c:v>
                </c:pt>
                <c:pt idx="16">
                  <c:v>2.26</c:v>
                </c:pt>
                <c:pt idx="17">
                  <c:v>2.28</c:v>
                </c:pt>
                <c:pt idx="18">
                  <c:v>3.2</c:v>
                </c:pt>
                <c:pt idx="19">
                  <c:v>3.5</c:v>
                </c:pt>
                <c:pt idx="20">
                  <c:v>3.7</c:v>
                </c:pt>
                <c:pt idx="21">
                  <c:v>3.9</c:v>
                </c:pt>
                <c:pt idx="22">
                  <c:v>3.12</c:v>
                </c:pt>
                <c:pt idx="23">
                  <c:v>3.14</c:v>
                </c:pt>
                <c:pt idx="24">
                  <c:v>3.16</c:v>
                </c:pt>
                <c:pt idx="25">
                  <c:v>3.19</c:v>
                </c:pt>
                <c:pt idx="26">
                  <c:v>3.21</c:v>
                </c:pt>
                <c:pt idx="27">
                  <c:v>3.23</c:v>
                </c:pt>
                <c:pt idx="28">
                  <c:v>3.25</c:v>
                </c:pt>
                <c:pt idx="29">
                  <c:v>3.27</c:v>
                </c:pt>
                <c:pt idx="30">
                  <c:v>3.3</c:v>
                </c:pt>
                <c:pt idx="31">
                  <c:v>4.1</c:v>
                </c:pt>
                <c:pt idx="32">
                  <c:v>4.3</c:v>
                </c:pt>
                <c:pt idx="33">
                  <c:v>4.5</c:v>
                </c:pt>
                <c:pt idx="34">
                  <c:v>4.8</c:v>
                </c:pt>
                <c:pt idx="35">
                  <c:v>4.1</c:v>
                </c:pt>
                <c:pt idx="36">
                  <c:v>4.13</c:v>
                </c:pt>
                <c:pt idx="37">
                  <c:v>4.15</c:v>
                </c:pt>
                <c:pt idx="38">
                  <c:v>4.17</c:v>
                </c:pt>
                <c:pt idx="39">
                  <c:v>4.19</c:v>
                </c:pt>
                <c:pt idx="40">
                  <c:v>4.21</c:v>
                </c:pt>
                <c:pt idx="41">
                  <c:v>4.24</c:v>
                </c:pt>
                <c:pt idx="42">
                  <c:v>4.27</c:v>
                </c:pt>
                <c:pt idx="43">
                  <c:v>5.1</c:v>
                </c:pt>
                <c:pt idx="44">
                  <c:v>5.3</c:v>
                </c:pt>
                <c:pt idx="45">
                  <c:v>5.5</c:v>
                </c:pt>
                <c:pt idx="46">
                  <c:v>5.7</c:v>
                </c:pt>
                <c:pt idx="47">
                  <c:v>5.9</c:v>
                </c:pt>
                <c:pt idx="48">
                  <c:v>5.11</c:v>
                </c:pt>
                <c:pt idx="49">
                  <c:v>5.13</c:v>
                </c:pt>
                <c:pt idx="50">
                  <c:v>5.15</c:v>
                </c:pt>
                <c:pt idx="51">
                  <c:v>5.17</c:v>
                </c:pt>
                <c:pt idx="52">
                  <c:v>5.19</c:v>
                </c:pt>
                <c:pt idx="53">
                  <c:v>5.21</c:v>
                </c:pt>
                <c:pt idx="54">
                  <c:v>5.24</c:v>
                </c:pt>
                <c:pt idx="55">
                  <c:v>5.26</c:v>
                </c:pt>
                <c:pt idx="56">
                  <c:v>5.28</c:v>
                </c:pt>
                <c:pt idx="57">
                  <c:v>5.3</c:v>
                </c:pt>
                <c:pt idx="58">
                  <c:v>6.02</c:v>
                </c:pt>
                <c:pt idx="59">
                  <c:v>6.04</c:v>
                </c:pt>
                <c:pt idx="60">
                  <c:v>6.07</c:v>
                </c:pt>
                <c:pt idx="61">
                  <c:v>6.1</c:v>
                </c:pt>
                <c:pt idx="62">
                  <c:v>6.12</c:v>
                </c:pt>
                <c:pt idx="63">
                  <c:v>6.14</c:v>
                </c:pt>
                <c:pt idx="64">
                  <c:v>6.16</c:v>
                </c:pt>
                <c:pt idx="65">
                  <c:v>6.19</c:v>
                </c:pt>
                <c:pt idx="66">
                  <c:v>6.22</c:v>
                </c:pt>
                <c:pt idx="67">
                  <c:v>6.24</c:v>
                </c:pt>
                <c:pt idx="68">
                  <c:v>6.26</c:v>
                </c:pt>
                <c:pt idx="69">
                  <c:v>6.29</c:v>
                </c:pt>
                <c:pt idx="70">
                  <c:v>7.01</c:v>
                </c:pt>
                <c:pt idx="71">
                  <c:v>7.03</c:v>
                </c:pt>
                <c:pt idx="72">
                  <c:v>7.05</c:v>
                </c:pt>
                <c:pt idx="73">
                  <c:v>7.08</c:v>
                </c:pt>
                <c:pt idx="74">
                  <c:v>7.1</c:v>
                </c:pt>
                <c:pt idx="75">
                  <c:v>7.12</c:v>
                </c:pt>
                <c:pt idx="76">
                  <c:v>7.15</c:v>
                </c:pt>
                <c:pt idx="77">
                  <c:v>7.17</c:v>
                </c:pt>
                <c:pt idx="78">
                  <c:v>7.2</c:v>
                </c:pt>
                <c:pt idx="79">
                  <c:v>7.22</c:v>
                </c:pt>
                <c:pt idx="80">
                  <c:v>7.25</c:v>
                </c:pt>
                <c:pt idx="81">
                  <c:v>7.27</c:v>
                </c:pt>
                <c:pt idx="82">
                  <c:v>7.29</c:v>
                </c:pt>
                <c:pt idx="83">
                  <c:v>8.1</c:v>
                </c:pt>
                <c:pt idx="84">
                  <c:v>8.3</c:v>
                </c:pt>
                <c:pt idx="85">
                  <c:v>8.5</c:v>
                </c:pt>
                <c:pt idx="86">
                  <c:v>8.8</c:v>
                </c:pt>
                <c:pt idx="87">
                  <c:v>8.1</c:v>
                </c:pt>
                <c:pt idx="88">
                  <c:v>8.12</c:v>
                </c:pt>
                <c:pt idx="89">
                  <c:v>8.15</c:v>
                </c:pt>
                <c:pt idx="90">
                  <c:v>8.17</c:v>
                </c:pt>
                <c:pt idx="91">
                  <c:v>8.19</c:v>
                </c:pt>
                <c:pt idx="92">
                  <c:v>8.22</c:v>
                </c:pt>
                <c:pt idx="93">
                  <c:v>8.24</c:v>
                </c:pt>
                <c:pt idx="94">
                  <c:v>8.27</c:v>
                </c:pt>
                <c:pt idx="95">
                  <c:v>8.29</c:v>
                </c:pt>
                <c:pt idx="96">
                  <c:v>8.31</c:v>
                </c:pt>
                <c:pt idx="97">
                  <c:v>9.2</c:v>
                </c:pt>
                <c:pt idx="98">
                  <c:v>9.4</c:v>
                </c:pt>
                <c:pt idx="99">
                  <c:v>9.7</c:v>
                </c:pt>
                <c:pt idx="100">
                  <c:v>9.9</c:v>
                </c:pt>
                <c:pt idx="101">
                  <c:v>9.11</c:v>
                </c:pt>
                <c:pt idx="102">
                  <c:v>9.14</c:v>
                </c:pt>
                <c:pt idx="103">
                  <c:v>9.16</c:v>
                </c:pt>
                <c:pt idx="104">
                  <c:v>9.18</c:v>
                </c:pt>
                <c:pt idx="105">
                  <c:v>9.21</c:v>
                </c:pt>
                <c:pt idx="106">
                  <c:v>9.23</c:v>
                </c:pt>
                <c:pt idx="107">
                  <c:v>9.25</c:v>
                </c:pt>
                <c:pt idx="108">
                  <c:v>9.27</c:v>
                </c:pt>
                <c:pt idx="109">
                  <c:v>9.29</c:v>
                </c:pt>
                <c:pt idx="110">
                  <c:v>10.2</c:v>
                </c:pt>
                <c:pt idx="111">
                  <c:v>10.5</c:v>
                </c:pt>
                <c:pt idx="112">
                  <c:v>10.7</c:v>
                </c:pt>
                <c:pt idx="113">
                  <c:v>10.9</c:v>
                </c:pt>
                <c:pt idx="114">
                  <c:v>10.11</c:v>
                </c:pt>
                <c:pt idx="115">
                  <c:v>10.15</c:v>
                </c:pt>
                <c:pt idx="116">
                  <c:v>10.17</c:v>
                </c:pt>
                <c:pt idx="117">
                  <c:v>10.19</c:v>
                </c:pt>
                <c:pt idx="118">
                  <c:v>10.21</c:v>
                </c:pt>
                <c:pt idx="119">
                  <c:v>10.23</c:v>
                </c:pt>
                <c:pt idx="120">
                  <c:v>10.26</c:v>
                </c:pt>
                <c:pt idx="121">
                  <c:v>10.28</c:v>
                </c:pt>
                <c:pt idx="122">
                  <c:v>10.3</c:v>
                </c:pt>
                <c:pt idx="123">
                  <c:v>11.2</c:v>
                </c:pt>
                <c:pt idx="124">
                  <c:v>11.4</c:v>
                </c:pt>
                <c:pt idx="125">
                  <c:v>11.6</c:v>
                </c:pt>
                <c:pt idx="126">
                  <c:v>11.9</c:v>
                </c:pt>
                <c:pt idx="127">
                  <c:v>11.11</c:v>
                </c:pt>
                <c:pt idx="128">
                  <c:v>11.13</c:v>
                </c:pt>
                <c:pt idx="129">
                  <c:v>11.16</c:v>
                </c:pt>
                <c:pt idx="130">
                  <c:v>11.18</c:v>
                </c:pt>
                <c:pt idx="131">
                  <c:v>11.2</c:v>
                </c:pt>
                <c:pt idx="132">
                  <c:v>11.23</c:v>
                </c:pt>
                <c:pt idx="133">
                  <c:v>11.25</c:v>
                </c:pt>
                <c:pt idx="134">
                  <c:v>11.27</c:v>
                </c:pt>
                <c:pt idx="135">
                  <c:v>11.3</c:v>
                </c:pt>
                <c:pt idx="136">
                  <c:v>12.2</c:v>
                </c:pt>
                <c:pt idx="137">
                  <c:v>12.4</c:v>
                </c:pt>
                <c:pt idx="138">
                  <c:v>12.7</c:v>
                </c:pt>
                <c:pt idx="139">
                  <c:v>12.9</c:v>
                </c:pt>
                <c:pt idx="140">
                  <c:v>12.11</c:v>
                </c:pt>
                <c:pt idx="141">
                  <c:v>12.14</c:v>
                </c:pt>
                <c:pt idx="142">
                  <c:v>12.16</c:v>
                </c:pt>
                <c:pt idx="143">
                  <c:v>12.18</c:v>
                </c:pt>
                <c:pt idx="144">
                  <c:v>12.21</c:v>
                </c:pt>
                <c:pt idx="145">
                  <c:v>12.23</c:v>
                </c:pt>
                <c:pt idx="146">
                  <c:v>12.25</c:v>
                </c:pt>
                <c:pt idx="147">
                  <c:v>12.28</c:v>
                </c:pt>
              </c:numCache>
            </c:numRef>
          </c:cat>
          <c:val>
            <c:numRef>
              <c:f>'2018行列转换'!$K$2:$K$149</c:f>
              <c:numCache>
                <c:formatCode>General</c:formatCode>
                <c:ptCount val="148"/>
                <c:pt idx="0">
                  <c:v>1.178</c:v>
                </c:pt>
                <c:pt idx="1">
                  <c:v>1.156</c:v>
                </c:pt>
                <c:pt idx="2">
                  <c:v>1.152</c:v>
                </c:pt>
                <c:pt idx="3">
                  <c:v>1.17</c:v>
                </c:pt>
                <c:pt idx="4">
                  <c:v>1.17</c:v>
                </c:pt>
                <c:pt idx="5">
                  <c:v>1.159</c:v>
                </c:pt>
                <c:pt idx="6">
                  <c:v>1.17</c:v>
                </c:pt>
                <c:pt idx="7">
                  <c:v>1.178</c:v>
                </c:pt>
                <c:pt idx="8">
                  <c:v>1.181</c:v>
                </c:pt>
                <c:pt idx="9">
                  <c:v>1.185</c:v>
                </c:pt>
                <c:pt idx="10">
                  <c:v>1.159</c:v>
                </c:pt>
                <c:pt idx="11">
                  <c:v>1.167</c:v>
                </c:pt>
                <c:pt idx="12">
                  <c:v>1.17</c:v>
                </c:pt>
                <c:pt idx="13">
                  <c:v>1.17</c:v>
                </c:pt>
                <c:pt idx="14">
                  <c:v>1.178</c:v>
                </c:pt>
                <c:pt idx="15">
                  <c:v>1.2</c:v>
                </c:pt>
                <c:pt idx="16">
                  <c:v>1.196</c:v>
                </c:pt>
                <c:pt idx="17">
                  <c:v>1.196</c:v>
                </c:pt>
                <c:pt idx="18">
                  <c:v>1.181</c:v>
                </c:pt>
                <c:pt idx="19">
                  <c:v>1.178</c:v>
                </c:pt>
                <c:pt idx="20">
                  <c:v>1.17</c:v>
                </c:pt>
                <c:pt idx="21">
                  <c:v>1.156</c:v>
                </c:pt>
                <c:pt idx="22">
                  <c:v>1.141</c:v>
                </c:pt>
                <c:pt idx="23">
                  <c:v>1.145</c:v>
                </c:pt>
                <c:pt idx="24">
                  <c:v>1.17</c:v>
                </c:pt>
                <c:pt idx="25">
                  <c:v>1.174</c:v>
                </c:pt>
                <c:pt idx="26">
                  <c:v>1.178</c:v>
                </c:pt>
                <c:pt idx="27">
                  <c:v>1.218</c:v>
                </c:pt>
                <c:pt idx="28">
                  <c:v>1.214</c:v>
                </c:pt>
                <c:pt idx="29">
                  <c:v>1.207</c:v>
                </c:pt>
                <c:pt idx="30">
                  <c:v>1.17</c:v>
                </c:pt>
                <c:pt idx="31">
                  <c:v>1.156</c:v>
                </c:pt>
                <c:pt idx="32">
                  <c:v>1.192</c:v>
                </c:pt>
                <c:pt idx="33">
                  <c:v>1.192</c:v>
                </c:pt>
                <c:pt idx="34">
                  <c:v>1.178</c:v>
                </c:pt>
                <c:pt idx="35">
                  <c:v>1.17</c:v>
                </c:pt>
                <c:pt idx="36">
                  <c:v>1.174</c:v>
                </c:pt>
                <c:pt idx="37">
                  <c:v>1.178</c:v>
                </c:pt>
                <c:pt idx="38">
                  <c:v>1.181</c:v>
                </c:pt>
                <c:pt idx="39">
                  <c:v>1.17</c:v>
                </c:pt>
                <c:pt idx="40">
                  <c:v>1.156</c:v>
                </c:pt>
                <c:pt idx="41">
                  <c:v>1.167</c:v>
                </c:pt>
                <c:pt idx="42">
                  <c:v>1.17</c:v>
                </c:pt>
                <c:pt idx="43">
                  <c:v>1.178</c:v>
                </c:pt>
                <c:pt idx="44">
                  <c:v>1.181</c:v>
                </c:pt>
                <c:pt idx="45">
                  <c:v>1.17</c:v>
                </c:pt>
                <c:pt idx="46">
                  <c:v>1.255</c:v>
                </c:pt>
                <c:pt idx="47">
                  <c:v>1.258</c:v>
                </c:pt>
                <c:pt idx="48">
                  <c:v>1.258</c:v>
                </c:pt>
                <c:pt idx="49">
                  <c:v>1.257</c:v>
                </c:pt>
                <c:pt idx="50">
                  <c:v>1.256</c:v>
                </c:pt>
                <c:pt idx="51">
                  <c:v>1.252</c:v>
                </c:pt>
                <c:pt idx="52">
                  <c:v>1.257</c:v>
                </c:pt>
                <c:pt idx="53">
                  <c:v>1.256</c:v>
                </c:pt>
                <c:pt idx="54">
                  <c:v>1.252</c:v>
                </c:pt>
                <c:pt idx="55">
                  <c:v>1.255</c:v>
                </c:pt>
                <c:pt idx="56">
                  <c:v>1.256</c:v>
                </c:pt>
                <c:pt idx="57">
                  <c:v>1.258</c:v>
                </c:pt>
                <c:pt idx="58">
                  <c:v>1.255</c:v>
                </c:pt>
                <c:pt idx="59">
                  <c:v>1.254</c:v>
                </c:pt>
                <c:pt idx="60">
                  <c:v>1.253</c:v>
                </c:pt>
                <c:pt idx="61">
                  <c:v>1.252</c:v>
                </c:pt>
                <c:pt idx="62">
                  <c:v>1.181</c:v>
                </c:pt>
                <c:pt idx="63">
                  <c:v>1.253</c:v>
                </c:pt>
                <c:pt idx="64">
                  <c:v>1.17</c:v>
                </c:pt>
                <c:pt idx="65">
                  <c:v>1.181</c:v>
                </c:pt>
                <c:pt idx="66">
                  <c:v>1.176</c:v>
                </c:pt>
                <c:pt idx="67">
                  <c:v>1.178</c:v>
                </c:pt>
                <c:pt idx="68">
                  <c:v>1.181</c:v>
                </c:pt>
                <c:pt idx="69">
                  <c:v>1.17</c:v>
                </c:pt>
                <c:pt idx="70">
                  <c:v>1.18</c:v>
                </c:pt>
                <c:pt idx="71">
                  <c:v>1.181</c:v>
                </c:pt>
                <c:pt idx="72">
                  <c:v>1.18</c:v>
                </c:pt>
                <c:pt idx="73">
                  <c:v>1.18</c:v>
                </c:pt>
                <c:pt idx="74">
                  <c:v>1.181</c:v>
                </c:pt>
                <c:pt idx="75">
                  <c:v>1.179</c:v>
                </c:pt>
                <c:pt idx="76">
                  <c:v>1.171</c:v>
                </c:pt>
                <c:pt idx="77">
                  <c:v>1.171</c:v>
                </c:pt>
                <c:pt idx="78">
                  <c:v>1.179</c:v>
                </c:pt>
                <c:pt idx="79">
                  <c:v>1.17</c:v>
                </c:pt>
                <c:pt idx="80">
                  <c:v>1.168</c:v>
                </c:pt>
                <c:pt idx="81">
                  <c:v>1.173</c:v>
                </c:pt>
                <c:pt idx="82">
                  <c:v>1.177</c:v>
                </c:pt>
                <c:pt idx="83">
                  <c:v>1.16</c:v>
                </c:pt>
                <c:pt idx="84">
                  <c:v>1.178</c:v>
                </c:pt>
                <c:pt idx="85">
                  <c:v>1.177</c:v>
                </c:pt>
                <c:pt idx="86">
                  <c:v>1.16</c:v>
                </c:pt>
                <c:pt idx="87">
                  <c:v>1.178</c:v>
                </c:pt>
                <c:pt idx="88">
                  <c:v>1.17</c:v>
                </c:pt>
                <c:pt idx="89">
                  <c:v>1.168</c:v>
                </c:pt>
                <c:pt idx="90">
                  <c:v>1.173</c:v>
                </c:pt>
                <c:pt idx="91">
                  <c:v>1.172</c:v>
                </c:pt>
                <c:pt idx="92">
                  <c:v>1.168</c:v>
                </c:pt>
                <c:pt idx="93">
                  <c:v>1.175</c:v>
                </c:pt>
                <c:pt idx="94">
                  <c:v>1.178</c:v>
                </c:pt>
                <c:pt idx="95">
                  <c:v>1.171</c:v>
                </c:pt>
                <c:pt idx="96">
                  <c:v>1.175</c:v>
                </c:pt>
                <c:pt idx="97">
                  <c:v>1.172</c:v>
                </c:pt>
                <c:pt idx="98">
                  <c:v>1.168</c:v>
                </c:pt>
                <c:pt idx="99">
                  <c:v>1.17</c:v>
                </c:pt>
                <c:pt idx="100">
                  <c:v>1.17</c:v>
                </c:pt>
                <c:pt idx="101">
                  <c:v>1.178</c:v>
                </c:pt>
                <c:pt idx="102">
                  <c:v>1.175</c:v>
                </c:pt>
                <c:pt idx="103">
                  <c:v>1.17</c:v>
                </c:pt>
                <c:pt idx="104">
                  <c:v>1.161</c:v>
                </c:pt>
                <c:pt idx="105">
                  <c:v>1.175</c:v>
                </c:pt>
                <c:pt idx="106">
                  <c:v>1.176</c:v>
                </c:pt>
                <c:pt idx="107">
                  <c:v>1.166</c:v>
                </c:pt>
                <c:pt idx="108">
                  <c:v>1.17</c:v>
                </c:pt>
                <c:pt idx="109">
                  <c:v>1.176</c:v>
                </c:pt>
                <c:pt idx="110">
                  <c:v>1.17</c:v>
                </c:pt>
                <c:pt idx="111">
                  <c:v>1.17</c:v>
                </c:pt>
                <c:pt idx="112">
                  <c:v>1.177</c:v>
                </c:pt>
                <c:pt idx="113">
                  <c:v>1.168</c:v>
                </c:pt>
                <c:pt idx="114">
                  <c:v>1.173</c:v>
                </c:pt>
                <c:pt idx="115">
                  <c:v>1.177</c:v>
                </c:pt>
                <c:pt idx="116">
                  <c:v>1.165</c:v>
                </c:pt>
                <c:pt idx="117">
                  <c:v>1.171</c:v>
                </c:pt>
                <c:pt idx="118">
                  <c:v>1.177</c:v>
                </c:pt>
                <c:pt idx="119">
                  <c:v>1.16</c:v>
                </c:pt>
                <c:pt idx="120">
                  <c:v>1.175</c:v>
                </c:pt>
                <c:pt idx="121">
                  <c:v>1.175</c:v>
                </c:pt>
                <c:pt idx="122">
                  <c:v>1.168</c:v>
                </c:pt>
                <c:pt idx="123">
                  <c:v>1.178</c:v>
                </c:pt>
                <c:pt idx="124">
                  <c:v>1.177</c:v>
                </c:pt>
                <c:pt idx="125">
                  <c:v>1.173</c:v>
                </c:pt>
                <c:pt idx="126">
                  <c:v>1.169</c:v>
                </c:pt>
                <c:pt idx="127">
                  <c:v>1.183</c:v>
                </c:pt>
                <c:pt idx="128">
                  <c:v>1.161</c:v>
                </c:pt>
                <c:pt idx="129">
                  <c:v>1.175</c:v>
                </c:pt>
                <c:pt idx="130">
                  <c:v>1.187</c:v>
                </c:pt>
                <c:pt idx="131">
                  <c:v>1.165</c:v>
                </c:pt>
                <c:pt idx="132">
                  <c:v>1.178</c:v>
                </c:pt>
                <c:pt idx="133">
                  <c:v>1.176</c:v>
                </c:pt>
                <c:pt idx="134">
                  <c:v>1.159</c:v>
                </c:pt>
                <c:pt idx="135">
                  <c:v>1.178</c:v>
                </c:pt>
                <c:pt idx="136">
                  <c:v>1.174</c:v>
                </c:pt>
                <c:pt idx="137">
                  <c:v>1.17</c:v>
                </c:pt>
                <c:pt idx="138">
                  <c:v>1.165</c:v>
                </c:pt>
                <c:pt idx="139">
                  <c:v>1.172</c:v>
                </c:pt>
                <c:pt idx="140">
                  <c:v>1.175</c:v>
                </c:pt>
                <c:pt idx="141">
                  <c:v>1.168</c:v>
                </c:pt>
                <c:pt idx="142">
                  <c:v>1.176</c:v>
                </c:pt>
                <c:pt idx="143">
                  <c:v>1.174</c:v>
                </c:pt>
                <c:pt idx="144">
                  <c:v>1.169</c:v>
                </c:pt>
                <c:pt idx="145">
                  <c:v>1.18</c:v>
                </c:pt>
                <c:pt idx="146">
                  <c:v>1.172</c:v>
                </c:pt>
                <c:pt idx="147">
                  <c:v>1.176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33182287"/>
        <c:axId val="920788084"/>
      </c:lineChart>
      <c:catAx>
        <c:axId val="331822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0788084"/>
        <c:crosses val="autoZero"/>
        <c:auto val="1"/>
        <c:lblAlgn val="ctr"/>
        <c:lblOffset val="100"/>
        <c:noMultiLvlLbl val="0"/>
      </c:catAx>
      <c:valAx>
        <c:axId val="9207880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182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'2019行列转换'!$U$1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'2019行列转换'!$T$2:$T$48</c:f>
              <c:numCache>
                <c:formatCode>General</c:formatCode>
                <c:ptCount val="47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1.11</c:v>
                </c:pt>
                <c:pt idx="5">
                  <c:v>1.13</c:v>
                </c:pt>
                <c:pt idx="6">
                  <c:v>1.15</c:v>
                </c:pt>
                <c:pt idx="7">
                  <c:v>1.18</c:v>
                </c:pt>
                <c:pt idx="8">
                  <c:v>1.2</c:v>
                </c:pt>
                <c:pt idx="9">
                  <c:v>1.22</c:v>
                </c:pt>
                <c:pt idx="10">
                  <c:v>1.25</c:v>
                </c:pt>
                <c:pt idx="11">
                  <c:v>1.27</c:v>
                </c:pt>
                <c:pt idx="12">
                  <c:v>1.29</c:v>
                </c:pt>
                <c:pt idx="13">
                  <c:v>2.1</c:v>
                </c:pt>
                <c:pt idx="14">
                  <c:v>2.3</c:v>
                </c:pt>
                <c:pt idx="15">
                  <c:v>2.5</c:v>
                </c:pt>
                <c:pt idx="16">
                  <c:v>2.8</c:v>
                </c:pt>
                <c:pt idx="17">
                  <c:v>2.17</c:v>
                </c:pt>
                <c:pt idx="18">
                  <c:v>2.19</c:v>
                </c:pt>
                <c:pt idx="19">
                  <c:v>2.22</c:v>
                </c:pt>
                <c:pt idx="20">
                  <c:v>2.24</c:v>
                </c:pt>
                <c:pt idx="21">
                  <c:v>2.26</c:v>
                </c:pt>
                <c:pt idx="22">
                  <c:v>3.1</c:v>
                </c:pt>
                <c:pt idx="23">
                  <c:v>3.3</c:v>
                </c:pt>
                <c:pt idx="24">
                  <c:v>3.5</c:v>
                </c:pt>
                <c:pt idx="25">
                  <c:v>3.8</c:v>
                </c:pt>
                <c:pt idx="26">
                  <c:v>3.1</c:v>
                </c:pt>
                <c:pt idx="27">
                  <c:v>3.12</c:v>
                </c:pt>
                <c:pt idx="28">
                  <c:v>3.15</c:v>
                </c:pt>
                <c:pt idx="29">
                  <c:v>3.17</c:v>
                </c:pt>
                <c:pt idx="30">
                  <c:v>3.19</c:v>
                </c:pt>
                <c:pt idx="31">
                  <c:v>3.22</c:v>
                </c:pt>
                <c:pt idx="32">
                  <c:v>3.24</c:v>
                </c:pt>
                <c:pt idx="33">
                  <c:v>3.26</c:v>
                </c:pt>
                <c:pt idx="34">
                  <c:v>3.29</c:v>
                </c:pt>
                <c:pt idx="35">
                  <c:v>3.31</c:v>
                </c:pt>
                <c:pt idx="36">
                  <c:v>4.2</c:v>
                </c:pt>
                <c:pt idx="37">
                  <c:v>4.5</c:v>
                </c:pt>
                <c:pt idx="38">
                  <c:v>4.7</c:v>
                </c:pt>
                <c:pt idx="39">
                  <c:v>4.9</c:v>
                </c:pt>
                <c:pt idx="40">
                  <c:v>4.12</c:v>
                </c:pt>
                <c:pt idx="41">
                  <c:v>4.14</c:v>
                </c:pt>
                <c:pt idx="42">
                  <c:v>4.16</c:v>
                </c:pt>
                <c:pt idx="43">
                  <c:v>4.19</c:v>
                </c:pt>
                <c:pt idx="44">
                  <c:v>4.21</c:v>
                </c:pt>
                <c:pt idx="45">
                  <c:v>4.23</c:v>
                </c:pt>
                <c:pt idx="46">
                  <c:v>4.26</c:v>
                </c:pt>
              </c:numCache>
            </c:numRef>
          </c:cat>
          <c:val>
            <c:numRef>
              <c:f>'2019行列转换'!$U$2:$U$48</c:f>
              <c:numCache>
                <c:formatCode>General</c:formatCode>
                <c:ptCount val="47"/>
                <c:pt idx="0">
                  <c:v>0.34</c:v>
                </c:pt>
                <c:pt idx="1">
                  <c:v>0.342</c:v>
                </c:pt>
                <c:pt idx="2">
                  <c:v>0.335</c:v>
                </c:pt>
                <c:pt idx="3">
                  <c:v>0.332</c:v>
                </c:pt>
                <c:pt idx="4">
                  <c:v>0.347</c:v>
                </c:pt>
                <c:pt idx="5">
                  <c:v>0.347</c:v>
                </c:pt>
                <c:pt idx="6">
                  <c:v>0.332</c:v>
                </c:pt>
                <c:pt idx="7">
                  <c:v>0.353</c:v>
                </c:pt>
                <c:pt idx="8">
                  <c:v>0.339</c:v>
                </c:pt>
                <c:pt idx="9">
                  <c:v>0.342</c:v>
                </c:pt>
                <c:pt idx="10">
                  <c:v>0.345</c:v>
                </c:pt>
                <c:pt idx="11">
                  <c:v>0.343</c:v>
                </c:pt>
                <c:pt idx="12">
                  <c:v>0.334</c:v>
                </c:pt>
                <c:pt idx="13">
                  <c:v>0.327</c:v>
                </c:pt>
                <c:pt idx="14">
                  <c:v>0.341</c:v>
                </c:pt>
                <c:pt idx="15">
                  <c:v>0.338</c:v>
                </c:pt>
                <c:pt idx="16">
                  <c:v>0.33</c:v>
                </c:pt>
                <c:pt idx="17">
                  <c:v>0.345</c:v>
                </c:pt>
                <c:pt idx="18">
                  <c:v>0.336</c:v>
                </c:pt>
                <c:pt idx="19">
                  <c:v>0.342</c:v>
                </c:pt>
                <c:pt idx="20">
                  <c:v>0.338</c:v>
                </c:pt>
                <c:pt idx="21">
                  <c:v>0.342</c:v>
                </c:pt>
                <c:pt idx="22">
                  <c:v>0.345</c:v>
                </c:pt>
                <c:pt idx="23">
                  <c:v>0.335</c:v>
                </c:pt>
                <c:pt idx="24">
                  <c:v>0.328</c:v>
                </c:pt>
                <c:pt idx="25">
                  <c:v>0.337</c:v>
                </c:pt>
                <c:pt idx="26">
                  <c:v>0.335</c:v>
                </c:pt>
                <c:pt idx="27">
                  <c:v>0.341</c:v>
                </c:pt>
                <c:pt idx="28">
                  <c:v>0.338</c:v>
                </c:pt>
                <c:pt idx="29">
                  <c:v>0.342</c:v>
                </c:pt>
                <c:pt idx="30">
                  <c:v>0.343</c:v>
                </c:pt>
                <c:pt idx="31">
                  <c:v>0.349</c:v>
                </c:pt>
                <c:pt idx="32">
                  <c:v>0.34</c:v>
                </c:pt>
                <c:pt idx="33">
                  <c:v>0.337</c:v>
                </c:pt>
                <c:pt idx="34">
                  <c:v>0.346</c:v>
                </c:pt>
                <c:pt idx="35">
                  <c:v>0.341</c:v>
                </c:pt>
                <c:pt idx="36">
                  <c:v>0.346</c:v>
                </c:pt>
                <c:pt idx="37">
                  <c:v>0.347</c:v>
                </c:pt>
                <c:pt idx="38">
                  <c:v>0.336</c:v>
                </c:pt>
                <c:pt idx="39">
                  <c:v>0.329</c:v>
                </c:pt>
                <c:pt idx="40">
                  <c:v>0.335</c:v>
                </c:pt>
                <c:pt idx="41">
                  <c:v>0.334</c:v>
                </c:pt>
                <c:pt idx="42">
                  <c:v>0.347</c:v>
                </c:pt>
                <c:pt idx="43">
                  <c:v>0.339</c:v>
                </c:pt>
                <c:pt idx="44">
                  <c:v>0.343</c:v>
                </c:pt>
                <c:pt idx="45">
                  <c:v>0.342</c:v>
                </c:pt>
                <c:pt idx="46">
                  <c:v>0.348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'2019行列转换'!$V$1</c:f>
              <c:strCache>
                <c:ptCount val="1"/>
                <c:pt idx="0">
                  <c:v>计算值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'2019行列转换'!$T$2:$T$48</c:f>
              <c:numCache>
                <c:formatCode>General</c:formatCode>
                <c:ptCount val="47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1.11</c:v>
                </c:pt>
                <c:pt idx="5">
                  <c:v>1.13</c:v>
                </c:pt>
                <c:pt idx="6">
                  <c:v>1.15</c:v>
                </c:pt>
                <c:pt idx="7">
                  <c:v>1.18</c:v>
                </c:pt>
                <c:pt idx="8">
                  <c:v>1.2</c:v>
                </c:pt>
                <c:pt idx="9">
                  <c:v>1.22</c:v>
                </c:pt>
                <c:pt idx="10">
                  <c:v>1.25</c:v>
                </c:pt>
                <c:pt idx="11">
                  <c:v>1.27</c:v>
                </c:pt>
                <c:pt idx="12">
                  <c:v>1.29</c:v>
                </c:pt>
                <c:pt idx="13">
                  <c:v>2.1</c:v>
                </c:pt>
                <c:pt idx="14">
                  <c:v>2.3</c:v>
                </c:pt>
                <c:pt idx="15">
                  <c:v>2.5</c:v>
                </c:pt>
                <c:pt idx="16">
                  <c:v>2.8</c:v>
                </c:pt>
                <c:pt idx="17">
                  <c:v>2.17</c:v>
                </c:pt>
                <c:pt idx="18">
                  <c:v>2.19</c:v>
                </c:pt>
                <c:pt idx="19">
                  <c:v>2.22</c:v>
                </c:pt>
                <c:pt idx="20">
                  <c:v>2.24</c:v>
                </c:pt>
                <c:pt idx="21">
                  <c:v>2.26</c:v>
                </c:pt>
                <c:pt idx="22">
                  <c:v>3.1</c:v>
                </c:pt>
                <c:pt idx="23">
                  <c:v>3.3</c:v>
                </c:pt>
                <c:pt idx="24">
                  <c:v>3.5</c:v>
                </c:pt>
                <c:pt idx="25">
                  <c:v>3.8</c:v>
                </c:pt>
                <c:pt idx="26">
                  <c:v>3.1</c:v>
                </c:pt>
                <c:pt idx="27">
                  <c:v>3.12</c:v>
                </c:pt>
                <c:pt idx="28">
                  <c:v>3.15</c:v>
                </c:pt>
                <c:pt idx="29">
                  <c:v>3.17</c:v>
                </c:pt>
                <c:pt idx="30">
                  <c:v>3.19</c:v>
                </c:pt>
                <c:pt idx="31">
                  <c:v>3.22</c:v>
                </c:pt>
                <c:pt idx="32">
                  <c:v>3.24</c:v>
                </c:pt>
                <c:pt idx="33">
                  <c:v>3.26</c:v>
                </c:pt>
                <c:pt idx="34">
                  <c:v>3.29</c:v>
                </c:pt>
                <c:pt idx="35">
                  <c:v>3.31</c:v>
                </c:pt>
                <c:pt idx="36">
                  <c:v>4.2</c:v>
                </c:pt>
                <c:pt idx="37">
                  <c:v>4.5</c:v>
                </c:pt>
                <c:pt idx="38">
                  <c:v>4.7</c:v>
                </c:pt>
                <c:pt idx="39">
                  <c:v>4.9</c:v>
                </c:pt>
                <c:pt idx="40">
                  <c:v>4.12</c:v>
                </c:pt>
                <c:pt idx="41">
                  <c:v>4.14</c:v>
                </c:pt>
                <c:pt idx="42">
                  <c:v>4.16</c:v>
                </c:pt>
                <c:pt idx="43">
                  <c:v>4.19</c:v>
                </c:pt>
                <c:pt idx="44">
                  <c:v>4.21</c:v>
                </c:pt>
                <c:pt idx="45">
                  <c:v>4.23</c:v>
                </c:pt>
                <c:pt idx="46">
                  <c:v>4.26</c:v>
                </c:pt>
              </c:numCache>
            </c:numRef>
          </c:cat>
          <c:val>
            <c:numRef>
              <c:f>'2019行列转换'!$V$2:$V$48</c:f>
              <c:numCache>
                <c:formatCode>General</c:formatCode>
                <c:ptCount val="47"/>
                <c:pt idx="0">
                  <c:v>0.34</c:v>
                </c:pt>
                <c:pt idx="1">
                  <c:v>0.342</c:v>
                </c:pt>
                <c:pt idx="2">
                  <c:v>0.337</c:v>
                </c:pt>
                <c:pt idx="3">
                  <c:v>0.332</c:v>
                </c:pt>
                <c:pt idx="4">
                  <c:v>0.344</c:v>
                </c:pt>
                <c:pt idx="5">
                  <c:v>0.341</c:v>
                </c:pt>
                <c:pt idx="6">
                  <c:v>0.333</c:v>
                </c:pt>
                <c:pt idx="7">
                  <c:v>0.343</c:v>
                </c:pt>
                <c:pt idx="8">
                  <c:v>0.339</c:v>
                </c:pt>
                <c:pt idx="9">
                  <c:v>0.342</c:v>
                </c:pt>
                <c:pt idx="10">
                  <c:v>0.34</c:v>
                </c:pt>
                <c:pt idx="11">
                  <c:v>0.341</c:v>
                </c:pt>
                <c:pt idx="12">
                  <c:v>0.337</c:v>
                </c:pt>
                <c:pt idx="13">
                  <c:v>0.328</c:v>
                </c:pt>
                <c:pt idx="14">
                  <c:v>0.341</c:v>
                </c:pt>
                <c:pt idx="15">
                  <c:v>0.338</c:v>
                </c:pt>
                <c:pt idx="16">
                  <c:v>0.337</c:v>
                </c:pt>
                <c:pt idx="17">
                  <c:v>0.341</c:v>
                </c:pt>
                <c:pt idx="18">
                  <c:v>0.337</c:v>
                </c:pt>
                <c:pt idx="19">
                  <c:v>0.339</c:v>
                </c:pt>
                <c:pt idx="20">
                  <c:v>0.339</c:v>
                </c:pt>
                <c:pt idx="21">
                  <c:v>0.339</c:v>
                </c:pt>
                <c:pt idx="22">
                  <c:v>0.344</c:v>
                </c:pt>
                <c:pt idx="23">
                  <c:v>0.337</c:v>
                </c:pt>
                <c:pt idx="24">
                  <c:v>0.337</c:v>
                </c:pt>
                <c:pt idx="25">
                  <c:v>0.338</c:v>
                </c:pt>
                <c:pt idx="26">
                  <c:v>0.337</c:v>
                </c:pt>
                <c:pt idx="27">
                  <c:v>0.339</c:v>
                </c:pt>
                <c:pt idx="28">
                  <c:v>0.339</c:v>
                </c:pt>
                <c:pt idx="29">
                  <c:v>0.341</c:v>
                </c:pt>
                <c:pt idx="30">
                  <c:v>0.341</c:v>
                </c:pt>
                <c:pt idx="31">
                  <c:v>0.348</c:v>
                </c:pt>
                <c:pt idx="32">
                  <c:v>0.339</c:v>
                </c:pt>
                <c:pt idx="33">
                  <c:v>0.338</c:v>
                </c:pt>
                <c:pt idx="34">
                  <c:v>0.341</c:v>
                </c:pt>
                <c:pt idx="35">
                  <c:v>0.341</c:v>
                </c:pt>
                <c:pt idx="36">
                  <c:v>0.344</c:v>
                </c:pt>
                <c:pt idx="37">
                  <c:v>0.344</c:v>
                </c:pt>
                <c:pt idx="38">
                  <c:v>0.337</c:v>
                </c:pt>
                <c:pt idx="39">
                  <c:v>0.336</c:v>
                </c:pt>
                <c:pt idx="40">
                  <c:v>0.335</c:v>
                </c:pt>
                <c:pt idx="41">
                  <c:v>0.339</c:v>
                </c:pt>
                <c:pt idx="42">
                  <c:v>0.346</c:v>
                </c:pt>
                <c:pt idx="43">
                  <c:v>0.339</c:v>
                </c:pt>
                <c:pt idx="44">
                  <c:v>0.341</c:v>
                </c:pt>
                <c:pt idx="45">
                  <c:v>0.339</c:v>
                </c:pt>
                <c:pt idx="46">
                  <c:v>0.345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21625243"/>
        <c:axId val="734027770"/>
      </c:lineChart>
      <c:catAx>
        <c:axId val="5216252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4027770"/>
        <c:crosses val="autoZero"/>
        <c:auto val="1"/>
        <c:lblAlgn val="ctr"/>
        <c:lblOffset val="100"/>
        <c:noMultiLvlLbl val="0"/>
      </c:catAx>
      <c:valAx>
        <c:axId val="73402777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16252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385445</xdr:colOff>
      <xdr:row>12</xdr:row>
      <xdr:rowOff>3175</xdr:rowOff>
    </xdr:from>
    <xdr:to>
      <xdr:col>20</xdr:col>
      <xdr:colOff>22860</xdr:colOff>
      <xdr:row>28</xdr:row>
      <xdr:rowOff>3175</xdr:rowOff>
    </xdr:to>
    <xdr:graphicFrame>
      <xdr:nvGraphicFramePr>
        <xdr:cNvPr id="7" name="图表 6"/>
        <xdr:cNvGraphicFramePr/>
      </xdr:nvGraphicFramePr>
      <xdr:xfrm>
        <a:off x="9986645" y="2098675"/>
        <a:ext cx="375221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69850</xdr:colOff>
      <xdr:row>30</xdr:row>
      <xdr:rowOff>50800</xdr:rowOff>
    </xdr:from>
    <xdr:to>
      <xdr:col>19</xdr:col>
      <xdr:colOff>413385</xdr:colOff>
      <xdr:row>47</xdr:row>
      <xdr:rowOff>107950</xdr:rowOff>
    </xdr:to>
    <xdr:graphicFrame>
      <xdr:nvGraphicFramePr>
        <xdr:cNvPr id="8" name="图表 7"/>
        <xdr:cNvGraphicFramePr/>
      </xdr:nvGraphicFramePr>
      <xdr:xfrm>
        <a:off x="9671050" y="5232400"/>
        <a:ext cx="3772535" cy="297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203200</xdr:colOff>
      <xdr:row>49</xdr:row>
      <xdr:rowOff>3175</xdr:rowOff>
    </xdr:from>
    <xdr:to>
      <xdr:col>19</xdr:col>
      <xdr:colOff>650875</xdr:colOff>
      <xdr:row>65</xdr:row>
      <xdr:rowOff>31750</xdr:rowOff>
    </xdr:to>
    <xdr:graphicFrame>
      <xdr:nvGraphicFramePr>
        <xdr:cNvPr id="10" name="图表 9"/>
        <xdr:cNvGraphicFramePr/>
      </xdr:nvGraphicFramePr>
      <xdr:xfrm>
        <a:off x="9804400" y="8442325"/>
        <a:ext cx="3876675" cy="27717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384175</xdr:colOff>
      <xdr:row>66</xdr:row>
      <xdr:rowOff>165735</xdr:rowOff>
    </xdr:from>
    <xdr:to>
      <xdr:col>19</xdr:col>
      <xdr:colOff>488950</xdr:colOff>
      <xdr:row>83</xdr:row>
      <xdr:rowOff>3175</xdr:rowOff>
    </xdr:to>
    <xdr:graphicFrame>
      <xdr:nvGraphicFramePr>
        <xdr:cNvPr id="11" name="图表 10"/>
        <xdr:cNvGraphicFramePr/>
      </xdr:nvGraphicFramePr>
      <xdr:xfrm>
        <a:off x="9985375" y="11519535"/>
        <a:ext cx="3533775" cy="27806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450850</xdr:colOff>
      <xdr:row>17</xdr:row>
      <xdr:rowOff>158750</xdr:rowOff>
    </xdr:from>
    <xdr:to>
      <xdr:col>19</xdr:col>
      <xdr:colOff>184150</xdr:colOff>
      <xdr:row>33</xdr:row>
      <xdr:rowOff>158750</xdr:rowOff>
    </xdr:to>
    <xdr:graphicFrame>
      <xdr:nvGraphicFramePr>
        <xdr:cNvPr id="6" name="图表 5"/>
        <xdr:cNvGraphicFramePr/>
      </xdr:nvGraphicFramePr>
      <xdr:xfrm>
        <a:off x="9918700" y="3073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U12"/>
  <sheetViews>
    <sheetView topLeftCell="AG1" workbookViewId="0">
      <selection activeCell="A8" sqref="A8:AU12"/>
    </sheetView>
  </sheetViews>
  <sheetFormatPr defaultColWidth="9" defaultRowHeight="13.5"/>
  <sheetData>
    <row r="1" spans="1:3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31</v>
      </c>
      <c r="L2" t="s">
        <v>36</v>
      </c>
      <c r="M2" t="s">
        <v>40</v>
      </c>
      <c r="N2" t="s">
        <v>30</v>
      </c>
      <c r="O2" t="s">
        <v>41</v>
      </c>
      <c r="P2" t="s">
        <v>42</v>
      </c>
      <c r="Q2" t="s">
        <v>43</v>
      </c>
      <c r="R2" t="s">
        <v>44</v>
      </c>
      <c r="S2" t="s">
        <v>45</v>
      </c>
      <c r="T2" t="s">
        <v>46</v>
      </c>
      <c r="U2" t="s">
        <v>47</v>
      </c>
      <c r="V2" t="s">
        <v>48</v>
      </c>
      <c r="W2" t="s">
        <v>31</v>
      </c>
      <c r="X2" t="s">
        <v>49</v>
      </c>
      <c r="Y2" t="s">
        <v>40</v>
      </c>
      <c r="Z2" t="s">
        <v>37</v>
      </c>
      <c r="AA2" t="s">
        <v>30</v>
      </c>
      <c r="AB2" t="s">
        <v>48</v>
      </c>
      <c r="AC2" t="s">
        <v>36</v>
      </c>
      <c r="AD2" t="s">
        <v>35</v>
      </c>
    </row>
    <row r="3" spans="1:30">
      <c r="A3" t="s">
        <v>50</v>
      </c>
      <c r="B3" t="s">
        <v>51</v>
      </c>
      <c r="C3" t="s">
        <v>52</v>
      </c>
      <c r="D3" t="s">
        <v>53</v>
      </c>
      <c r="E3" t="s">
        <v>54</v>
      </c>
      <c r="F3" t="s">
        <v>55</v>
      </c>
      <c r="G3" t="s">
        <v>56</v>
      </c>
      <c r="H3" t="s">
        <v>57</v>
      </c>
      <c r="I3" t="s">
        <v>54</v>
      </c>
      <c r="J3" t="s">
        <v>58</v>
      </c>
      <c r="K3" t="s">
        <v>51</v>
      </c>
      <c r="L3" t="s">
        <v>59</v>
      </c>
      <c r="M3" t="s">
        <v>59</v>
      </c>
      <c r="N3" t="s">
        <v>50</v>
      </c>
      <c r="O3" t="s">
        <v>60</v>
      </c>
      <c r="P3" t="s">
        <v>53</v>
      </c>
      <c r="Q3" t="s">
        <v>54</v>
      </c>
      <c r="R3" t="s">
        <v>55</v>
      </c>
      <c r="S3" t="s">
        <v>61</v>
      </c>
      <c r="T3" t="s">
        <v>62</v>
      </c>
      <c r="U3" t="s">
        <v>53</v>
      </c>
      <c r="V3" t="s">
        <v>63</v>
      </c>
      <c r="W3" t="s">
        <v>64</v>
      </c>
      <c r="X3" t="s">
        <v>56</v>
      </c>
      <c r="Y3" t="s">
        <v>65</v>
      </c>
      <c r="Z3" t="s">
        <v>60</v>
      </c>
      <c r="AA3" t="s">
        <v>53</v>
      </c>
      <c r="AB3" t="s">
        <v>66</v>
      </c>
      <c r="AC3" t="s">
        <v>58</v>
      </c>
      <c r="AD3" t="s">
        <v>53</v>
      </c>
    </row>
    <row r="4" spans="1:30">
      <c r="A4" t="s">
        <v>67</v>
      </c>
      <c r="B4" t="s">
        <v>68</v>
      </c>
      <c r="C4" t="s">
        <v>69</v>
      </c>
      <c r="D4" t="s">
        <v>70</v>
      </c>
      <c r="E4" t="s">
        <v>69</v>
      </c>
      <c r="F4" t="s">
        <v>67</v>
      </c>
      <c r="G4" t="s">
        <v>71</v>
      </c>
      <c r="H4" t="s">
        <v>72</v>
      </c>
      <c r="I4" t="s">
        <v>73</v>
      </c>
      <c r="J4" t="s">
        <v>71</v>
      </c>
      <c r="K4" t="s">
        <v>74</v>
      </c>
      <c r="L4" t="s">
        <v>70</v>
      </c>
      <c r="M4" t="s">
        <v>69</v>
      </c>
      <c r="N4" t="s">
        <v>75</v>
      </c>
      <c r="O4" t="s">
        <v>76</v>
      </c>
      <c r="P4" t="s">
        <v>77</v>
      </c>
      <c r="Q4" t="s">
        <v>73</v>
      </c>
      <c r="R4" t="s">
        <v>78</v>
      </c>
      <c r="S4" t="s">
        <v>74</v>
      </c>
      <c r="T4" t="s">
        <v>78</v>
      </c>
      <c r="U4" t="s">
        <v>79</v>
      </c>
      <c r="V4" t="s">
        <v>68</v>
      </c>
      <c r="W4" t="s">
        <v>80</v>
      </c>
      <c r="X4" t="s">
        <v>71</v>
      </c>
      <c r="Y4" t="s">
        <v>81</v>
      </c>
      <c r="Z4" t="s">
        <v>79</v>
      </c>
      <c r="AA4" t="s">
        <v>82</v>
      </c>
      <c r="AB4" t="s">
        <v>75</v>
      </c>
      <c r="AC4" t="s">
        <v>69</v>
      </c>
      <c r="AD4" t="s">
        <v>83</v>
      </c>
    </row>
    <row r="5" spans="1:30">
      <c r="A5" t="s">
        <v>84</v>
      </c>
      <c r="B5" t="s">
        <v>85</v>
      </c>
      <c r="C5" t="s">
        <v>86</v>
      </c>
      <c r="D5" t="s">
        <v>85</v>
      </c>
      <c r="E5" t="s">
        <v>87</v>
      </c>
      <c r="F5" t="s">
        <v>88</v>
      </c>
      <c r="G5" t="s">
        <v>89</v>
      </c>
      <c r="H5" t="s">
        <v>90</v>
      </c>
      <c r="I5" t="s">
        <v>90</v>
      </c>
      <c r="J5" t="s">
        <v>91</v>
      </c>
      <c r="K5" t="s">
        <v>85</v>
      </c>
      <c r="L5" t="s">
        <v>91</v>
      </c>
      <c r="M5" t="s">
        <v>92</v>
      </c>
      <c r="N5" t="s">
        <v>93</v>
      </c>
      <c r="O5" t="s">
        <v>85</v>
      </c>
      <c r="P5" t="s">
        <v>94</v>
      </c>
      <c r="Q5" t="s">
        <v>91</v>
      </c>
      <c r="R5" t="s">
        <v>89</v>
      </c>
      <c r="S5" t="s">
        <v>95</v>
      </c>
      <c r="T5" t="s">
        <v>85</v>
      </c>
      <c r="U5" t="s">
        <v>96</v>
      </c>
      <c r="V5" t="s">
        <v>97</v>
      </c>
      <c r="W5" t="s">
        <v>98</v>
      </c>
      <c r="X5" t="s">
        <v>92</v>
      </c>
      <c r="Y5" t="s">
        <v>86</v>
      </c>
      <c r="Z5" t="s">
        <v>96</v>
      </c>
      <c r="AA5" t="s">
        <v>99</v>
      </c>
      <c r="AB5" t="s">
        <v>98</v>
      </c>
      <c r="AC5" t="s">
        <v>92</v>
      </c>
      <c r="AD5" t="s">
        <v>96</v>
      </c>
    </row>
    <row r="8" spans="1:47">
      <c r="A8" t="s">
        <v>100</v>
      </c>
      <c r="B8" t="s">
        <v>101</v>
      </c>
      <c r="C8" t="s">
        <v>102</v>
      </c>
      <c r="D8" t="s">
        <v>103</v>
      </c>
      <c r="E8" t="s">
        <v>104</v>
      </c>
      <c r="F8" t="s">
        <v>105</v>
      </c>
      <c r="G8" t="s">
        <v>106</v>
      </c>
      <c r="H8" t="s">
        <v>107</v>
      </c>
      <c r="I8" t="s">
        <v>108</v>
      </c>
      <c r="J8" t="s">
        <v>109</v>
      </c>
      <c r="K8" t="s">
        <v>110</v>
      </c>
      <c r="L8" t="s">
        <v>111</v>
      </c>
      <c r="M8" t="s">
        <v>112</v>
      </c>
      <c r="N8" t="s">
        <v>113</v>
      </c>
      <c r="O8" t="s">
        <v>114</v>
      </c>
      <c r="P8" t="s">
        <v>115</v>
      </c>
      <c r="Q8" t="s">
        <v>116</v>
      </c>
      <c r="R8" t="s">
        <v>0</v>
      </c>
      <c r="S8" t="s">
        <v>1</v>
      </c>
      <c r="T8" t="s">
        <v>2</v>
      </c>
      <c r="U8" t="s">
        <v>3</v>
      </c>
      <c r="V8" t="s">
        <v>4</v>
      </c>
      <c r="W8" t="s">
        <v>5</v>
      </c>
      <c r="X8" t="s">
        <v>6</v>
      </c>
      <c r="Y8" t="s">
        <v>7</v>
      </c>
      <c r="Z8" t="s">
        <v>8</v>
      </c>
      <c r="AA8" t="s">
        <v>9</v>
      </c>
      <c r="AB8" t="s">
        <v>10</v>
      </c>
      <c r="AC8" t="s">
        <v>11</v>
      </c>
      <c r="AD8" t="s">
        <v>12</v>
      </c>
      <c r="AE8" t="s">
        <v>13</v>
      </c>
      <c r="AF8" t="s">
        <v>14</v>
      </c>
      <c r="AG8" t="s">
        <v>15</v>
      </c>
      <c r="AH8" t="s">
        <v>16</v>
      </c>
      <c r="AI8" t="s">
        <v>17</v>
      </c>
      <c r="AJ8" t="s">
        <v>18</v>
      </c>
      <c r="AK8" t="s">
        <v>19</v>
      </c>
      <c r="AL8" t="s">
        <v>20</v>
      </c>
      <c r="AM8" t="s">
        <v>21</v>
      </c>
      <c r="AN8" t="s">
        <v>22</v>
      </c>
      <c r="AO8" t="s">
        <v>23</v>
      </c>
      <c r="AP8" t="s">
        <v>24</v>
      </c>
      <c r="AQ8" t="s">
        <v>25</v>
      </c>
      <c r="AR8" t="s">
        <v>26</v>
      </c>
      <c r="AS8" t="s">
        <v>27</v>
      </c>
      <c r="AT8" t="s">
        <v>28</v>
      </c>
      <c r="AU8" t="s">
        <v>29</v>
      </c>
    </row>
    <row r="9" spans="1:47">
      <c r="A9" t="s">
        <v>36</v>
      </c>
      <c r="B9" t="s">
        <v>35</v>
      </c>
      <c r="C9" t="s">
        <v>45</v>
      </c>
      <c r="D9" t="s">
        <v>46</v>
      </c>
      <c r="E9" t="s">
        <v>48</v>
      </c>
      <c r="F9" t="s">
        <v>36</v>
      </c>
      <c r="G9" t="s">
        <v>37</v>
      </c>
      <c r="H9" t="s">
        <v>31</v>
      </c>
      <c r="I9" t="s">
        <v>32</v>
      </c>
      <c r="J9" t="s">
        <v>35</v>
      </c>
      <c r="K9" t="s">
        <v>33</v>
      </c>
      <c r="L9" t="s">
        <v>117</v>
      </c>
      <c r="M9" t="s">
        <v>30</v>
      </c>
      <c r="N9" t="s">
        <v>45</v>
      </c>
      <c r="O9" t="s">
        <v>32</v>
      </c>
      <c r="P9" t="s">
        <v>36</v>
      </c>
      <c r="Q9" t="s">
        <v>45</v>
      </c>
      <c r="R9" t="s">
        <v>30</v>
      </c>
      <c r="S9" t="s">
        <v>31</v>
      </c>
      <c r="T9" t="s">
        <v>32</v>
      </c>
      <c r="U9" t="s">
        <v>33</v>
      </c>
      <c r="V9" t="s">
        <v>34</v>
      </c>
      <c r="W9" t="s">
        <v>35</v>
      </c>
      <c r="X9" t="s">
        <v>36</v>
      </c>
      <c r="Y9" t="s">
        <v>37</v>
      </c>
      <c r="Z9" t="s">
        <v>38</v>
      </c>
      <c r="AA9" t="s">
        <v>39</v>
      </c>
      <c r="AB9" t="s">
        <v>31</v>
      </c>
      <c r="AC9" t="s">
        <v>36</v>
      </c>
      <c r="AD9" t="s">
        <v>40</v>
      </c>
      <c r="AE9" t="s">
        <v>30</v>
      </c>
      <c r="AF9" t="s">
        <v>41</v>
      </c>
      <c r="AG9" t="s">
        <v>42</v>
      </c>
      <c r="AH9" t="s">
        <v>43</v>
      </c>
      <c r="AI9" t="s">
        <v>44</v>
      </c>
      <c r="AJ9" t="s">
        <v>45</v>
      </c>
      <c r="AK9" t="s">
        <v>46</v>
      </c>
      <c r="AL9" t="s">
        <v>47</v>
      </c>
      <c r="AM9" t="s">
        <v>48</v>
      </c>
      <c r="AN9" t="s">
        <v>31</v>
      </c>
      <c r="AO9" t="s">
        <v>49</v>
      </c>
      <c r="AP9" t="s">
        <v>40</v>
      </c>
      <c r="AQ9" t="s">
        <v>37</v>
      </c>
      <c r="AR9" t="s">
        <v>30</v>
      </c>
      <c r="AS9" t="s">
        <v>48</v>
      </c>
      <c r="AT9" t="s">
        <v>36</v>
      </c>
      <c r="AU9" t="s">
        <v>35</v>
      </c>
    </row>
    <row r="10" spans="1:47">
      <c r="A10" t="s">
        <v>59</v>
      </c>
      <c r="B10" t="s">
        <v>118</v>
      </c>
      <c r="C10" t="s">
        <v>53</v>
      </c>
      <c r="D10" t="s">
        <v>62</v>
      </c>
      <c r="E10" t="s">
        <v>52</v>
      </c>
      <c r="F10" t="s">
        <v>119</v>
      </c>
      <c r="G10" t="s">
        <v>50</v>
      </c>
      <c r="H10" t="s">
        <v>120</v>
      </c>
      <c r="I10" t="s">
        <v>121</v>
      </c>
      <c r="J10" t="s">
        <v>61</v>
      </c>
      <c r="K10" t="s">
        <v>66</v>
      </c>
      <c r="L10" t="s">
        <v>50</v>
      </c>
      <c r="M10" t="s">
        <v>118</v>
      </c>
      <c r="N10" t="s">
        <v>52</v>
      </c>
      <c r="O10" t="s">
        <v>58</v>
      </c>
      <c r="P10" t="s">
        <v>59</v>
      </c>
      <c r="Q10" t="s">
        <v>53</v>
      </c>
      <c r="R10" t="s">
        <v>50</v>
      </c>
      <c r="S10" t="s">
        <v>51</v>
      </c>
      <c r="T10" t="s">
        <v>52</v>
      </c>
      <c r="U10" t="s">
        <v>53</v>
      </c>
      <c r="V10" t="s">
        <v>54</v>
      </c>
      <c r="W10" t="s">
        <v>55</v>
      </c>
      <c r="X10" t="s">
        <v>56</v>
      </c>
      <c r="Y10" t="s">
        <v>57</v>
      </c>
      <c r="Z10" t="s">
        <v>54</v>
      </c>
      <c r="AA10" t="s">
        <v>58</v>
      </c>
      <c r="AB10" t="s">
        <v>51</v>
      </c>
      <c r="AC10" t="s">
        <v>59</v>
      </c>
      <c r="AD10" t="s">
        <v>59</v>
      </c>
      <c r="AE10" t="s">
        <v>50</v>
      </c>
      <c r="AF10" t="s">
        <v>60</v>
      </c>
      <c r="AG10" t="s">
        <v>53</v>
      </c>
      <c r="AH10" t="s">
        <v>54</v>
      </c>
      <c r="AI10" t="s">
        <v>55</v>
      </c>
      <c r="AJ10" t="s">
        <v>61</v>
      </c>
      <c r="AK10" t="s">
        <v>62</v>
      </c>
      <c r="AL10" t="s">
        <v>53</v>
      </c>
      <c r="AM10" t="s">
        <v>63</v>
      </c>
      <c r="AN10" t="s">
        <v>64</v>
      </c>
      <c r="AO10" t="s">
        <v>56</v>
      </c>
      <c r="AP10" t="s">
        <v>65</v>
      </c>
      <c r="AQ10" t="s">
        <v>60</v>
      </c>
      <c r="AR10" t="s">
        <v>53</v>
      </c>
      <c r="AS10" t="s">
        <v>66</v>
      </c>
      <c r="AT10" t="s">
        <v>58</v>
      </c>
      <c r="AU10" t="s">
        <v>53</v>
      </c>
    </row>
    <row r="11" spans="1:47">
      <c r="A11" t="s">
        <v>77</v>
      </c>
      <c r="B11" t="s">
        <v>69</v>
      </c>
      <c r="C11" t="s">
        <v>71</v>
      </c>
      <c r="D11" t="s">
        <v>122</v>
      </c>
      <c r="E11" t="s">
        <v>79</v>
      </c>
      <c r="F11" t="s">
        <v>79</v>
      </c>
      <c r="G11" t="s">
        <v>122</v>
      </c>
      <c r="H11" t="s">
        <v>123</v>
      </c>
      <c r="I11" t="s">
        <v>82</v>
      </c>
      <c r="J11" t="s">
        <v>69</v>
      </c>
      <c r="K11" t="s">
        <v>67</v>
      </c>
      <c r="L11" t="s">
        <v>75</v>
      </c>
      <c r="M11" t="s">
        <v>81</v>
      </c>
      <c r="N11" t="s">
        <v>124</v>
      </c>
      <c r="O11" t="s">
        <v>74</v>
      </c>
      <c r="P11" t="s">
        <v>70</v>
      </c>
      <c r="Q11" t="s">
        <v>125</v>
      </c>
      <c r="R11" t="s">
        <v>67</v>
      </c>
      <c r="S11" t="s">
        <v>68</v>
      </c>
      <c r="T11" t="s">
        <v>69</v>
      </c>
      <c r="U11" t="s">
        <v>70</v>
      </c>
      <c r="V11" t="s">
        <v>69</v>
      </c>
      <c r="W11" t="s">
        <v>67</v>
      </c>
      <c r="X11" t="s">
        <v>71</v>
      </c>
      <c r="Y11" t="s">
        <v>72</v>
      </c>
      <c r="Z11" t="s">
        <v>73</v>
      </c>
      <c r="AA11" t="s">
        <v>71</v>
      </c>
      <c r="AB11" t="s">
        <v>74</v>
      </c>
      <c r="AC11" t="s">
        <v>70</v>
      </c>
      <c r="AD11" t="s">
        <v>69</v>
      </c>
      <c r="AE11" t="s">
        <v>75</v>
      </c>
      <c r="AF11" t="s">
        <v>76</v>
      </c>
      <c r="AG11" t="s">
        <v>77</v>
      </c>
      <c r="AH11" t="s">
        <v>73</v>
      </c>
      <c r="AI11" t="s">
        <v>78</v>
      </c>
      <c r="AJ11" t="s">
        <v>74</v>
      </c>
      <c r="AK11" t="s">
        <v>78</v>
      </c>
      <c r="AL11" t="s">
        <v>79</v>
      </c>
      <c r="AM11" t="s">
        <v>68</v>
      </c>
      <c r="AN11" t="s">
        <v>80</v>
      </c>
      <c r="AO11" t="s">
        <v>71</v>
      </c>
      <c r="AP11" t="s">
        <v>81</v>
      </c>
      <c r="AQ11" t="s">
        <v>79</v>
      </c>
      <c r="AR11" t="s">
        <v>82</v>
      </c>
      <c r="AS11" t="s">
        <v>75</v>
      </c>
      <c r="AT11" t="s">
        <v>69</v>
      </c>
      <c r="AU11" t="s">
        <v>83</v>
      </c>
    </row>
    <row r="12" spans="1:47">
      <c r="A12" t="s">
        <v>126</v>
      </c>
      <c r="B12" t="s">
        <v>93</v>
      </c>
      <c r="C12" t="s">
        <v>92</v>
      </c>
      <c r="D12" t="s">
        <v>94</v>
      </c>
      <c r="E12" t="s">
        <v>127</v>
      </c>
      <c r="F12" t="s">
        <v>97</v>
      </c>
      <c r="G12" t="s">
        <v>128</v>
      </c>
      <c r="H12" t="s">
        <v>86</v>
      </c>
      <c r="I12" t="s">
        <v>93</v>
      </c>
      <c r="J12" t="s">
        <v>94</v>
      </c>
      <c r="K12" t="s">
        <v>129</v>
      </c>
      <c r="L12" t="s">
        <v>86</v>
      </c>
      <c r="M12" t="s">
        <v>97</v>
      </c>
      <c r="N12" t="s">
        <v>130</v>
      </c>
      <c r="O12" t="s">
        <v>94</v>
      </c>
      <c r="P12" t="s">
        <v>126</v>
      </c>
      <c r="Q12" t="s">
        <v>130</v>
      </c>
      <c r="R12" t="s">
        <v>84</v>
      </c>
      <c r="S12" t="s">
        <v>85</v>
      </c>
      <c r="T12" t="s">
        <v>86</v>
      </c>
      <c r="U12" t="s">
        <v>85</v>
      </c>
      <c r="V12" t="s">
        <v>87</v>
      </c>
      <c r="W12" t="s">
        <v>88</v>
      </c>
      <c r="X12" t="s">
        <v>89</v>
      </c>
      <c r="Y12" t="s">
        <v>90</v>
      </c>
      <c r="Z12" t="s">
        <v>90</v>
      </c>
      <c r="AA12" t="s">
        <v>91</v>
      </c>
      <c r="AB12" t="s">
        <v>85</v>
      </c>
      <c r="AC12" t="s">
        <v>91</v>
      </c>
      <c r="AD12" t="s">
        <v>92</v>
      </c>
      <c r="AE12" t="s">
        <v>93</v>
      </c>
      <c r="AF12" t="s">
        <v>85</v>
      </c>
      <c r="AG12" t="s">
        <v>94</v>
      </c>
      <c r="AH12" t="s">
        <v>91</v>
      </c>
      <c r="AI12" t="s">
        <v>89</v>
      </c>
      <c r="AJ12" t="s">
        <v>95</v>
      </c>
      <c r="AK12" t="s">
        <v>85</v>
      </c>
      <c r="AL12" t="s">
        <v>96</v>
      </c>
      <c r="AM12" t="s">
        <v>97</v>
      </c>
      <c r="AN12" t="s">
        <v>98</v>
      </c>
      <c r="AO12" t="s">
        <v>92</v>
      </c>
      <c r="AP12" t="s">
        <v>86</v>
      </c>
      <c r="AQ12" t="s">
        <v>96</v>
      </c>
      <c r="AR12" t="s">
        <v>99</v>
      </c>
      <c r="AS12" t="s">
        <v>98</v>
      </c>
      <c r="AT12" t="s">
        <v>92</v>
      </c>
      <c r="AU12" t="s">
        <v>96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J19"/>
  <sheetViews>
    <sheetView workbookViewId="0">
      <selection activeCell="H3" sqref="H3:J3"/>
    </sheetView>
  </sheetViews>
  <sheetFormatPr defaultColWidth="9" defaultRowHeight="13.5"/>
  <sheetData>
    <row r="1" ht="31.5" customHeight="1" spans="1:8">
      <c r="A1" s="10" t="s">
        <v>131</v>
      </c>
      <c r="B1" s="11" t="s">
        <v>132</v>
      </c>
      <c r="C1" s="12" t="s">
        <v>133</v>
      </c>
      <c r="D1" s="12"/>
      <c r="E1" s="12"/>
      <c r="F1" s="13" t="s">
        <v>131</v>
      </c>
      <c r="G1" s="13" t="s">
        <v>132</v>
      </c>
      <c r="H1" s="13" t="s">
        <v>133</v>
      </c>
    </row>
    <row r="2" ht="15" spans="1:8">
      <c r="A2" s="14"/>
      <c r="B2" s="15"/>
      <c r="C2" s="15">
        <v>12.27</v>
      </c>
      <c r="D2" s="15">
        <v>12.29</v>
      </c>
      <c r="E2" s="16">
        <v>1.1</v>
      </c>
      <c r="F2" s="13">
        <v>7.29</v>
      </c>
      <c r="G2" s="13">
        <v>8.1</v>
      </c>
      <c r="H2" s="13">
        <v>8.3</v>
      </c>
    </row>
    <row r="3" ht="15" spans="1:10">
      <c r="A3" s="17" t="s">
        <v>134</v>
      </c>
      <c r="B3" s="18" t="s">
        <v>135</v>
      </c>
      <c r="C3" s="19">
        <v>1.676</v>
      </c>
      <c r="D3" s="19">
        <v>1.676</v>
      </c>
      <c r="E3" s="20">
        <v>1.676</v>
      </c>
      <c r="F3" s="13" t="s">
        <v>136</v>
      </c>
      <c r="G3" s="13" t="s">
        <v>135</v>
      </c>
      <c r="H3" s="13">
        <v>1.708</v>
      </c>
      <c r="I3" s="13">
        <v>1.695</v>
      </c>
      <c r="J3" s="13">
        <v>1.69</v>
      </c>
    </row>
    <row r="4" ht="15" spans="1:9">
      <c r="A4" s="17"/>
      <c r="B4" s="18" t="s">
        <v>137</v>
      </c>
      <c r="C4" s="19">
        <v>0.763</v>
      </c>
      <c r="D4" s="19">
        <v>0.785</v>
      </c>
      <c r="E4" s="20">
        <v>0.781</v>
      </c>
      <c r="F4" s="13" t="s">
        <v>137</v>
      </c>
      <c r="G4" s="13">
        <v>0.799</v>
      </c>
      <c r="H4" s="13">
        <v>0.795</v>
      </c>
      <c r="I4" s="13">
        <v>0.803</v>
      </c>
    </row>
    <row r="5" ht="15" spans="1:10">
      <c r="A5" s="17" t="s">
        <v>138</v>
      </c>
      <c r="B5" s="18" t="s">
        <v>135</v>
      </c>
      <c r="C5" s="19">
        <v>-0.001</v>
      </c>
      <c r="D5" s="19">
        <v>-0.001</v>
      </c>
      <c r="E5" s="20">
        <v>0.006</v>
      </c>
      <c r="F5" s="13" t="s">
        <v>139</v>
      </c>
      <c r="G5" s="13" t="s">
        <v>135</v>
      </c>
      <c r="H5" s="13">
        <v>0.005</v>
      </c>
      <c r="I5" s="13">
        <v>0.009</v>
      </c>
      <c r="J5" s="13">
        <v>0.01</v>
      </c>
    </row>
    <row r="6" ht="15" spans="1:9">
      <c r="A6" s="17"/>
      <c r="B6" s="18" t="s">
        <v>137</v>
      </c>
      <c r="C6" s="19">
        <v>-2.065</v>
      </c>
      <c r="D6" s="19">
        <v>-2.065</v>
      </c>
      <c r="E6" s="20">
        <v>-2.065</v>
      </c>
      <c r="F6" s="13" t="s">
        <v>137</v>
      </c>
      <c r="G6" s="13">
        <v>-2.076</v>
      </c>
      <c r="H6" s="13">
        <v>-2.087</v>
      </c>
      <c r="I6" s="13">
        <v>-2.08</v>
      </c>
    </row>
    <row r="7" ht="15" spans="1:10">
      <c r="A7" s="17" t="s">
        <v>140</v>
      </c>
      <c r="B7" s="18" t="s">
        <v>135</v>
      </c>
      <c r="C7" s="19">
        <v>3.563</v>
      </c>
      <c r="D7" s="19">
        <v>3.563</v>
      </c>
      <c r="E7" s="20">
        <v>3.556</v>
      </c>
      <c r="F7" s="13" t="s">
        <v>141</v>
      </c>
      <c r="G7" s="13" t="s">
        <v>135</v>
      </c>
      <c r="H7" s="13">
        <v>3.579</v>
      </c>
      <c r="I7" s="13">
        <v>3.58</v>
      </c>
      <c r="J7" s="13">
        <v>3.572</v>
      </c>
    </row>
    <row r="8" ht="15" spans="1:9">
      <c r="A8" s="17"/>
      <c r="B8" s="18" t="s">
        <v>137</v>
      </c>
      <c r="C8" s="19">
        <v>3.583</v>
      </c>
      <c r="D8" s="19">
        <v>3.62</v>
      </c>
      <c r="E8" s="20">
        <v>3.557</v>
      </c>
      <c r="F8" s="13" t="s">
        <v>137</v>
      </c>
      <c r="G8" s="13">
        <v>3.621</v>
      </c>
      <c r="H8" s="13">
        <v>3.63</v>
      </c>
      <c r="I8" s="13">
        <v>3.626</v>
      </c>
    </row>
    <row r="9" ht="15" spans="1:10">
      <c r="A9" s="17">
        <v>2</v>
      </c>
      <c r="B9" s="18" t="s">
        <v>135</v>
      </c>
      <c r="C9" s="19">
        <v>-4.299</v>
      </c>
      <c r="D9" s="19">
        <v>-4.302</v>
      </c>
      <c r="E9" s="20">
        <v>-4.302</v>
      </c>
      <c r="F9" s="13">
        <v>2</v>
      </c>
      <c r="G9" s="13" t="s">
        <v>135</v>
      </c>
      <c r="H9" s="13">
        <v>-4.338</v>
      </c>
      <c r="I9" s="13">
        <v>-4.332</v>
      </c>
      <c r="J9" s="13">
        <v>-4.33</v>
      </c>
    </row>
    <row r="10" ht="15" spans="1:9">
      <c r="A10" s="17"/>
      <c r="B10" s="18" t="s">
        <v>137</v>
      </c>
      <c r="C10" s="19">
        <v>0.051</v>
      </c>
      <c r="D10" s="19">
        <v>0.054</v>
      </c>
      <c r="E10" s="20">
        <v>0.039</v>
      </c>
      <c r="F10" s="13" t="s">
        <v>137</v>
      </c>
      <c r="G10" s="13">
        <v>0.079</v>
      </c>
      <c r="H10" s="13">
        <v>0.077</v>
      </c>
      <c r="I10" s="13">
        <v>0.071</v>
      </c>
    </row>
    <row r="11" ht="15" spans="1:10">
      <c r="A11" s="17">
        <v>3</v>
      </c>
      <c r="B11" s="18" t="s">
        <v>135</v>
      </c>
      <c r="C11" s="19">
        <v>-0.338</v>
      </c>
      <c r="D11" s="19">
        <v>-0.357</v>
      </c>
      <c r="E11" s="20">
        <v>-0.357</v>
      </c>
      <c r="F11" s="13">
        <v>3</v>
      </c>
      <c r="G11" s="13" t="s">
        <v>135</v>
      </c>
      <c r="H11" s="13">
        <v>-0.34</v>
      </c>
      <c r="I11" s="13">
        <v>-0.34</v>
      </c>
      <c r="J11" s="13">
        <v>-0.333</v>
      </c>
    </row>
    <row r="12" ht="15" spans="1:9">
      <c r="A12" s="17"/>
      <c r="B12" s="18" t="s">
        <v>137</v>
      </c>
      <c r="C12" s="19">
        <v>-0.691</v>
      </c>
      <c r="D12" s="19">
        <v>-0.721</v>
      </c>
      <c r="E12" s="20">
        <v>-0.721</v>
      </c>
      <c r="F12" s="13" t="s">
        <v>137</v>
      </c>
      <c r="G12" s="13">
        <v>-0.675</v>
      </c>
      <c r="H12" s="13">
        <v>-0.668</v>
      </c>
      <c r="I12" s="13">
        <v>-0.666</v>
      </c>
    </row>
    <row r="13" ht="15" spans="1:10">
      <c r="A13" s="17">
        <v>4</v>
      </c>
      <c r="B13" s="18" t="s">
        <v>135</v>
      </c>
      <c r="C13" s="19">
        <v>0.333</v>
      </c>
      <c r="D13" s="19">
        <v>0.348</v>
      </c>
      <c r="E13" s="20">
        <v>0.337</v>
      </c>
      <c r="F13" s="13">
        <v>4</v>
      </c>
      <c r="G13" s="13" t="s">
        <v>135</v>
      </c>
      <c r="H13" s="13">
        <v>0.335</v>
      </c>
      <c r="I13" s="13">
        <v>0.328</v>
      </c>
      <c r="J13" s="13">
        <v>0.33</v>
      </c>
    </row>
    <row r="14" ht="15" spans="1:9">
      <c r="A14" s="17"/>
      <c r="B14" s="18" t="s">
        <v>137</v>
      </c>
      <c r="C14" s="19">
        <v>0.093</v>
      </c>
      <c r="D14" s="19">
        <v>0.093</v>
      </c>
      <c r="E14" s="20">
        <v>0.09</v>
      </c>
      <c r="F14" s="13" t="s">
        <v>137</v>
      </c>
      <c r="G14" s="13">
        <v>0.072</v>
      </c>
      <c r="H14" s="13">
        <v>0.062</v>
      </c>
      <c r="I14" s="13">
        <v>0.06</v>
      </c>
    </row>
    <row r="15" ht="15" spans="1:5">
      <c r="A15" s="17">
        <v>5</v>
      </c>
      <c r="B15" s="18" t="s">
        <v>135</v>
      </c>
      <c r="C15" s="19">
        <v>1.178</v>
      </c>
      <c r="D15" s="19">
        <v>1.178</v>
      </c>
      <c r="E15" s="20">
        <v>1.178</v>
      </c>
    </row>
    <row r="16" ht="15" spans="1:5">
      <c r="A16" s="17"/>
      <c r="B16" s="18" t="s">
        <v>137</v>
      </c>
      <c r="C16" s="19">
        <v>-2.715</v>
      </c>
      <c r="D16" s="19">
        <v>-2.741</v>
      </c>
      <c r="E16" s="20">
        <v>-2.719</v>
      </c>
    </row>
    <row r="17" ht="15" spans="1:5">
      <c r="A17" s="17">
        <v>6</v>
      </c>
      <c r="B17" s="18" t="s">
        <v>135</v>
      </c>
      <c r="C17" s="19">
        <v>-0.925</v>
      </c>
      <c r="D17" s="19">
        <v>-0.925</v>
      </c>
      <c r="E17" s="20">
        <v>-0.918</v>
      </c>
    </row>
    <row r="18" ht="15" spans="1:5">
      <c r="A18" s="21"/>
      <c r="B18" s="22" t="s">
        <v>137</v>
      </c>
      <c r="C18" s="23">
        <v>0.792</v>
      </c>
      <c r="D18" s="23">
        <v>0.818</v>
      </c>
      <c r="E18" s="24">
        <v>0.792</v>
      </c>
    </row>
    <row r="19" ht="14.25"/>
  </sheetData>
  <mergeCells count="1">
    <mergeCell ref="C1:E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ET42"/>
  <sheetViews>
    <sheetView workbookViewId="0">
      <selection activeCell="ET1" sqref="C1:ET1"/>
    </sheetView>
  </sheetViews>
  <sheetFormatPr defaultColWidth="9" defaultRowHeight="13.5"/>
  <sheetData>
    <row r="1" ht="14.25" spans="1:150">
      <c r="A1" t="s">
        <v>142</v>
      </c>
      <c r="B1" t="s">
        <v>143</v>
      </c>
      <c r="C1" t="s">
        <v>144</v>
      </c>
      <c r="D1" t="s">
        <v>101</v>
      </c>
      <c r="E1" t="s">
        <v>102</v>
      </c>
      <c r="F1" t="s">
        <v>145</v>
      </c>
      <c r="G1" t="s">
        <v>146</v>
      </c>
      <c r="H1" t="s">
        <v>106</v>
      </c>
      <c r="I1" t="s">
        <v>147</v>
      </c>
      <c r="J1" t="s">
        <v>148</v>
      </c>
      <c r="K1" t="s">
        <v>109</v>
      </c>
      <c r="L1" t="s">
        <v>149</v>
      </c>
      <c r="M1" t="s">
        <v>150</v>
      </c>
      <c r="N1" t="s">
        <v>151</v>
      </c>
      <c r="O1" t="s">
        <v>152</v>
      </c>
      <c r="P1" t="s">
        <v>113</v>
      </c>
      <c r="Q1" t="s">
        <v>153</v>
      </c>
      <c r="R1" t="s">
        <v>154</v>
      </c>
      <c r="S1" t="s">
        <v>4</v>
      </c>
      <c r="T1" t="s">
        <v>155</v>
      </c>
      <c r="U1" t="s">
        <v>156</v>
      </c>
      <c r="V1" t="s">
        <v>7</v>
      </c>
      <c r="W1" t="s">
        <v>157</v>
      </c>
      <c r="X1" t="s">
        <v>158</v>
      </c>
      <c r="Y1" t="s">
        <v>10</v>
      </c>
      <c r="Z1" t="s">
        <v>159</v>
      </c>
      <c r="AA1" t="s">
        <v>160</v>
      </c>
      <c r="AB1" t="s">
        <v>13</v>
      </c>
      <c r="AC1" t="s">
        <v>161</v>
      </c>
      <c r="AD1" t="s">
        <v>162</v>
      </c>
      <c r="AE1" t="s">
        <v>163</v>
      </c>
      <c r="AF1" t="s">
        <v>164</v>
      </c>
      <c r="AG1" t="s">
        <v>165</v>
      </c>
      <c r="AH1" t="s">
        <v>166</v>
      </c>
      <c r="AI1" t="s">
        <v>167</v>
      </c>
      <c r="AJ1" t="s">
        <v>20</v>
      </c>
      <c r="AK1" t="s">
        <v>168</v>
      </c>
      <c r="AL1" t="s">
        <v>169</v>
      </c>
      <c r="AM1" t="s">
        <v>170</v>
      </c>
      <c r="AN1" t="s">
        <v>171</v>
      </c>
      <c r="AO1" t="s">
        <v>172</v>
      </c>
      <c r="AP1" t="s">
        <v>26</v>
      </c>
      <c r="AQ1" t="s">
        <v>27</v>
      </c>
      <c r="AR1" t="s">
        <v>173</v>
      </c>
      <c r="AS1" t="s">
        <v>174</v>
      </c>
      <c r="AT1" t="s">
        <v>175</v>
      </c>
      <c r="AU1" t="s">
        <v>176</v>
      </c>
      <c r="AV1" t="s">
        <v>177</v>
      </c>
      <c r="AW1" t="s">
        <v>178</v>
      </c>
      <c r="AX1" t="s">
        <v>179</v>
      </c>
      <c r="AY1" t="s">
        <v>180</v>
      </c>
      <c r="AZ1" t="s">
        <v>181</v>
      </c>
      <c r="BA1" t="s">
        <v>182</v>
      </c>
      <c r="BB1" t="s">
        <v>183</v>
      </c>
      <c r="BC1" t="s">
        <v>184</v>
      </c>
      <c r="BD1" t="s">
        <v>185</v>
      </c>
      <c r="BE1" t="s">
        <v>186</v>
      </c>
      <c r="BF1" t="s">
        <v>187</v>
      </c>
      <c r="BG1" t="s">
        <v>188</v>
      </c>
      <c r="BH1" t="s">
        <v>189</v>
      </c>
      <c r="BI1" t="s">
        <v>190</v>
      </c>
      <c r="BJ1" t="s">
        <v>191</v>
      </c>
      <c r="BK1" t="s">
        <v>192</v>
      </c>
      <c r="BL1" t="s">
        <v>193</v>
      </c>
      <c r="BM1" t="s">
        <v>194</v>
      </c>
      <c r="BN1" t="s">
        <v>195</v>
      </c>
      <c r="BO1" t="s">
        <v>196</v>
      </c>
      <c r="BP1" t="s">
        <v>197</v>
      </c>
      <c r="BQ1" t="s">
        <v>198</v>
      </c>
      <c r="BR1" t="s">
        <v>199</v>
      </c>
      <c r="BS1" t="s">
        <v>200</v>
      </c>
      <c r="BT1" t="s">
        <v>201</v>
      </c>
      <c r="BU1" t="s">
        <v>202</v>
      </c>
      <c r="BV1" t="s">
        <v>203</v>
      </c>
      <c r="BW1" t="s">
        <v>204</v>
      </c>
      <c r="BX1" t="s">
        <v>205</v>
      </c>
      <c r="BY1" t="s">
        <v>206</v>
      </c>
      <c r="BZ1" t="s">
        <v>207</v>
      </c>
      <c r="CA1" t="s">
        <v>208</v>
      </c>
      <c r="CB1" t="s">
        <v>209</v>
      </c>
      <c r="CC1" t="s">
        <v>210</v>
      </c>
      <c r="CD1" t="s">
        <v>211</v>
      </c>
      <c r="CE1" t="s">
        <v>212</v>
      </c>
      <c r="CF1" t="s">
        <v>213</v>
      </c>
      <c r="CG1" s="4">
        <v>7.29</v>
      </c>
      <c r="CH1" s="4">
        <v>8.1</v>
      </c>
      <c r="CI1" s="4">
        <v>8.3</v>
      </c>
      <c r="CJ1" s="4">
        <v>8.5</v>
      </c>
      <c r="CK1" s="4">
        <v>8.8</v>
      </c>
      <c r="CL1" s="25" t="s">
        <v>214</v>
      </c>
      <c r="CM1" s="4">
        <v>8.12</v>
      </c>
      <c r="CN1" s="4">
        <v>8.15</v>
      </c>
      <c r="CO1" s="4">
        <v>8.17</v>
      </c>
      <c r="CP1" s="4">
        <v>8.19</v>
      </c>
      <c r="CQ1" s="4">
        <v>8.22</v>
      </c>
      <c r="CR1" s="4">
        <v>8.24</v>
      </c>
      <c r="CS1" t="s">
        <v>215</v>
      </c>
      <c r="CT1" t="s">
        <v>216</v>
      </c>
      <c r="CU1" t="s">
        <v>217</v>
      </c>
      <c r="CV1" t="s">
        <v>218</v>
      </c>
      <c r="CW1" t="s">
        <v>219</v>
      </c>
      <c r="CX1" t="s">
        <v>220</v>
      </c>
      <c r="CY1" t="s">
        <v>221</v>
      </c>
      <c r="CZ1" t="s">
        <v>222</v>
      </c>
      <c r="DA1" t="s">
        <v>223</v>
      </c>
      <c r="DB1" t="s">
        <v>224</v>
      </c>
      <c r="DC1" t="s">
        <v>225</v>
      </c>
      <c r="DD1" t="s">
        <v>226</v>
      </c>
      <c r="DE1" t="s">
        <v>227</v>
      </c>
      <c r="DF1" t="s">
        <v>228</v>
      </c>
      <c r="DG1" t="s">
        <v>229</v>
      </c>
      <c r="DH1" s="4">
        <v>9.29</v>
      </c>
      <c r="DI1" s="4">
        <v>10.2</v>
      </c>
      <c r="DJ1" s="4">
        <v>10.5</v>
      </c>
      <c r="DK1" s="4">
        <v>10.7</v>
      </c>
      <c r="DL1" s="4">
        <v>10.9</v>
      </c>
      <c r="DM1" s="4">
        <v>10.11</v>
      </c>
      <c r="DN1" s="4">
        <v>10.15</v>
      </c>
      <c r="DO1" s="4">
        <v>10.17</v>
      </c>
      <c r="DP1" s="4">
        <v>10.19</v>
      </c>
      <c r="DQ1" s="4">
        <v>10.21</v>
      </c>
      <c r="DR1" s="4">
        <v>10.23</v>
      </c>
      <c r="DS1" s="4">
        <v>10.26</v>
      </c>
      <c r="DT1" t="s">
        <v>230</v>
      </c>
      <c r="DU1" t="s">
        <v>231</v>
      </c>
      <c r="DV1" t="s">
        <v>232</v>
      </c>
      <c r="DW1" t="s">
        <v>233</v>
      </c>
      <c r="DX1" t="s">
        <v>234</v>
      </c>
      <c r="DY1" t="s">
        <v>235</v>
      </c>
      <c r="DZ1" t="s">
        <v>236</v>
      </c>
      <c r="EA1" t="s">
        <v>237</v>
      </c>
      <c r="EB1" t="s">
        <v>238</v>
      </c>
      <c r="EC1" t="s">
        <v>239</v>
      </c>
      <c r="ED1" t="s">
        <v>240</v>
      </c>
      <c r="EE1" t="s">
        <v>241</v>
      </c>
      <c r="EF1" t="s">
        <v>242</v>
      </c>
      <c r="EG1" t="s">
        <v>243</v>
      </c>
      <c r="EH1" t="s">
        <v>244</v>
      </c>
      <c r="EI1" t="s">
        <v>245</v>
      </c>
      <c r="EJ1" t="s">
        <v>246</v>
      </c>
      <c r="EK1" t="s">
        <v>247</v>
      </c>
      <c r="EL1" t="s">
        <v>248</v>
      </c>
      <c r="EM1" t="s">
        <v>249</v>
      </c>
      <c r="EN1" t="s">
        <v>250</v>
      </c>
      <c r="EO1" t="s">
        <v>251</v>
      </c>
      <c r="EP1" t="s">
        <v>252</v>
      </c>
      <c r="EQ1" t="s">
        <v>253</v>
      </c>
      <c r="ER1" t="s">
        <v>254</v>
      </c>
      <c r="ES1" t="s">
        <v>255</v>
      </c>
      <c r="ET1" t="s">
        <v>256</v>
      </c>
    </row>
    <row r="2" ht="14.25" spans="1:150">
      <c r="A2" t="s">
        <v>257</v>
      </c>
      <c r="B2" t="s">
        <v>258</v>
      </c>
      <c r="C2" t="s">
        <v>258</v>
      </c>
      <c r="D2" t="s">
        <v>259</v>
      </c>
      <c r="E2" t="s">
        <v>260</v>
      </c>
      <c r="F2" t="s">
        <v>261</v>
      </c>
      <c r="G2" t="s">
        <v>262</v>
      </c>
      <c r="H2" t="s">
        <v>260</v>
      </c>
      <c r="I2" t="s">
        <v>263</v>
      </c>
      <c r="J2" t="s">
        <v>264</v>
      </c>
      <c r="K2" t="s">
        <v>265</v>
      </c>
      <c r="L2" t="s">
        <v>266</v>
      </c>
      <c r="M2" t="s">
        <v>267</v>
      </c>
      <c r="N2" t="s">
        <v>267</v>
      </c>
      <c r="O2" t="s">
        <v>267</v>
      </c>
      <c r="P2" t="s">
        <v>258</v>
      </c>
      <c r="Q2" t="s">
        <v>35</v>
      </c>
      <c r="R2" t="s">
        <v>268</v>
      </c>
      <c r="S2" t="s">
        <v>269</v>
      </c>
      <c r="T2" t="s">
        <v>258</v>
      </c>
      <c r="U2" t="s">
        <v>270</v>
      </c>
      <c r="V2" t="s">
        <v>269</v>
      </c>
      <c r="W2" t="s">
        <v>262</v>
      </c>
      <c r="X2" t="s">
        <v>263</v>
      </c>
      <c r="Y2" t="s">
        <v>268</v>
      </c>
      <c r="Z2" t="s">
        <v>263</v>
      </c>
      <c r="AA2" t="s">
        <v>262</v>
      </c>
      <c r="AB2" t="s">
        <v>271</v>
      </c>
      <c r="AC2" t="s">
        <v>272</v>
      </c>
      <c r="AD2" t="s">
        <v>273</v>
      </c>
      <c r="AE2" t="s">
        <v>274</v>
      </c>
      <c r="AF2" t="s">
        <v>275</v>
      </c>
      <c r="AG2" t="s">
        <v>276</v>
      </c>
      <c r="AH2" t="s">
        <v>41</v>
      </c>
      <c r="AI2" t="s">
        <v>262</v>
      </c>
      <c r="AJ2" t="s">
        <v>262</v>
      </c>
      <c r="AK2" t="s">
        <v>277</v>
      </c>
      <c r="AL2" t="s">
        <v>271</v>
      </c>
      <c r="AM2" t="s">
        <v>272</v>
      </c>
      <c r="AN2" t="s">
        <v>276</v>
      </c>
      <c r="AO2" t="s">
        <v>278</v>
      </c>
      <c r="AP2" t="s">
        <v>273</v>
      </c>
      <c r="AQ2" t="s">
        <v>279</v>
      </c>
      <c r="AR2" t="s">
        <v>275</v>
      </c>
      <c r="AS2" t="s">
        <v>273</v>
      </c>
      <c r="AT2" t="s">
        <v>32</v>
      </c>
      <c r="AU2" t="s">
        <v>277</v>
      </c>
      <c r="AV2" t="s">
        <v>34</v>
      </c>
      <c r="AW2" t="s">
        <v>32</v>
      </c>
      <c r="AX2" t="s">
        <v>35</v>
      </c>
      <c r="AY2" t="s">
        <v>35</v>
      </c>
      <c r="AZ2" t="s">
        <v>33</v>
      </c>
      <c r="BA2" t="s">
        <v>33</v>
      </c>
      <c r="BB2" t="s">
        <v>35</v>
      </c>
      <c r="BC2" t="s">
        <v>33</v>
      </c>
      <c r="BD2" t="s">
        <v>33</v>
      </c>
      <c r="BE2" t="s">
        <v>35</v>
      </c>
      <c r="BF2" t="s">
        <v>35</v>
      </c>
      <c r="BG2" t="s">
        <v>33</v>
      </c>
      <c r="BH2" t="s">
        <v>33</v>
      </c>
      <c r="BI2" t="s">
        <v>35</v>
      </c>
      <c r="BJ2" t="s">
        <v>48</v>
      </c>
      <c r="BK2" t="s">
        <v>48</v>
      </c>
      <c r="BL2" t="s">
        <v>35</v>
      </c>
      <c r="BM2" t="s">
        <v>277</v>
      </c>
      <c r="BN2" t="s">
        <v>48</v>
      </c>
      <c r="BO2" t="s">
        <v>280</v>
      </c>
      <c r="BP2" t="s">
        <v>281</v>
      </c>
      <c r="BQ2" t="s">
        <v>274</v>
      </c>
      <c r="BR2" t="s">
        <v>276</v>
      </c>
      <c r="BS2" t="s">
        <v>278</v>
      </c>
      <c r="BT2" t="s">
        <v>273</v>
      </c>
      <c r="BU2" t="s">
        <v>40</v>
      </c>
      <c r="BV2" t="s">
        <v>278</v>
      </c>
      <c r="BW2" t="s">
        <v>31</v>
      </c>
      <c r="BX2" t="s">
        <v>40</v>
      </c>
      <c r="BY2" t="s">
        <v>278</v>
      </c>
      <c r="BZ2" t="s">
        <v>34</v>
      </c>
      <c r="CA2" t="s">
        <v>276</v>
      </c>
      <c r="CB2" t="s">
        <v>278</v>
      </c>
      <c r="CC2" t="s">
        <v>265</v>
      </c>
      <c r="CD2" t="s">
        <v>282</v>
      </c>
      <c r="CE2" t="s">
        <v>283</v>
      </c>
      <c r="CF2" t="s">
        <v>31</v>
      </c>
      <c r="CG2" s="4">
        <v>-4.338</v>
      </c>
      <c r="CH2" s="4">
        <v>-4.332</v>
      </c>
      <c r="CI2" s="4">
        <v>-4.33</v>
      </c>
      <c r="CJ2" s="4">
        <v>-4.338</v>
      </c>
      <c r="CK2" s="4">
        <v>-4.332</v>
      </c>
      <c r="CL2" s="4">
        <v>-4.33</v>
      </c>
      <c r="CM2" s="4">
        <v>-4.32</v>
      </c>
      <c r="CN2" s="4">
        <v>-4.318</v>
      </c>
      <c r="CO2" s="4">
        <v>-4.325</v>
      </c>
      <c r="CP2" s="4">
        <v>-4.322</v>
      </c>
      <c r="CQ2" s="4">
        <v>-4.319</v>
      </c>
      <c r="CR2" s="4">
        <v>-4.325</v>
      </c>
      <c r="CS2" t="s">
        <v>284</v>
      </c>
      <c r="CT2" t="s">
        <v>34</v>
      </c>
      <c r="CU2" t="s">
        <v>284</v>
      </c>
      <c r="CV2" t="s">
        <v>285</v>
      </c>
      <c r="CW2" t="s">
        <v>286</v>
      </c>
      <c r="CX2" t="s">
        <v>284</v>
      </c>
      <c r="CY2" t="s">
        <v>287</v>
      </c>
      <c r="CZ2" t="s">
        <v>288</v>
      </c>
      <c r="DA2" t="s">
        <v>289</v>
      </c>
      <c r="DB2" t="s">
        <v>39</v>
      </c>
      <c r="DC2" t="s">
        <v>269</v>
      </c>
      <c r="DD2" t="s">
        <v>284</v>
      </c>
      <c r="DE2" t="s">
        <v>290</v>
      </c>
      <c r="DF2" t="s">
        <v>284</v>
      </c>
      <c r="DG2" t="s">
        <v>291</v>
      </c>
      <c r="DH2" s="4">
        <v>-4.32</v>
      </c>
      <c r="DI2" s="4">
        <v>-4.32</v>
      </c>
      <c r="DJ2" s="4">
        <v>-4.329</v>
      </c>
      <c r="DK2" s="4">
        <v>-4.33</v>
      </c>
      <c r="DL2" s="4">
        <v>-4.318</v>
      </c>
      <c r="DM2" s="4">
        <v>-4.326</v>
      </c>
      <c r="DN2" s="4">
        <v>-4.33</v>
      </c>
      <c r="DO2" s="4">
        <v>-4.332</v>
      </c>
      <c r="DP2" s="4">
        <v>-4.336</v>
      </c>
      <c r="DQ2" s="4">
        <v>-4.333</v>
      </c>
      <c r="DR2" s="4">
        <v>-4.335</v>
      </c>
      <c r="DS2" s="4">
        <v>-4.33</v>
      </c>
      <c r="DT2" t="s">
        <v>40</v>
      </c>
      <c r="DU2" t="s">
        <v>42</v>
      </c>
      <c r="DV2" t="s">
        <v>30</v>
      </c>
      <c r="DW2" t="s">
        <v>39</v>
      </c>
      <c r="DX2" t="s">
        <v>36</v>
      </c>
      <c r="DY2" t="s">
        <v>31</v>
      </c>
      <c r="DZ2" t="s">
        <v>33</v>
      </c>
      <c r="EA2" t="s">
        <v>35</v>
      </c>
      <c r="EB2" t="s">
        <v>32</v>
      </c>
      <c r="EC2" t="s">
        <v>49</v>
      </c>
      <c r="ED2" t="s">
        <v>35</v>
      </c>
      <c r="EE2" t="s">
        <v>47</v>
      </c>
      <c r="EF2" t="s">
        <v>36</v>
      </c>
      <c r="EG2" t="s">
        <v>33</v>
      </c>
      <c r="EH2" t="s">
        <v>49</v>
      </c>
      <c r="EI2" t="s">
        <v>48</v>
      </c>
      <c r="EJ2" t="s">
        <v>46</v>
      </c>
      <c r="EK2" t="s">
        <v>45</v>
      </c>
      <c r="EL2" t="s">
        <v>33</v>
      </c>
      <c r="EM2" t="s">
        <v>48</v>
      </c>
      <c r="EN2" t="s">
        <v>45</v>
      </c>
      <c r="EO2" t="s">
        <v>37</v>
      </c>
      <c r="EP2" t="s">
        <v>30</v>
      </c>
      <c r="EQ2" t="s">
        <v>31</v>
      </c>
      <c r="ER2" t="s">
        <v>32</v>
      </c>
      <c r="ES2" t="s">
        <v>30</v>
      </c>
      <c r="ET2" t="s">
        <v>45</v>
      </c>
    </row>
    <row r="3" ht="14.25" spans="1:150">
      <c r="A3" t="s">
        <v>56</v>
      </c>
      <c r="B3" t="s">
        <v>292</v>
      </c>
      <c r="C3" t="s">
        <v>292</v>
      </c>
      <c r="D3" t="s">
        <v>51</v>
      </c>
      <c r="E3" t="s">
        <v>56</v>
      </c>
      <c r="F3" t="s">
        <v>292</v>
      </c>
      <c r="G3" t="s">
        <v>293</v>
      </c>
      <c r="H3" t="s">
        <v>63</v>
      </c>
      <c r="I3" t="s">
        <v>294</v>
      </c>
      <c r="J3" t="s">
        <v>295</v>
      </c>
      <c r="K3" t="s">
        <v>296</v>
      </c>
      <c r="L3" t="s">
        <v>297</v>
      </c>
      <c r="M3" t="s">
        <v>118</v>
      </c>
      <c r="N3" t="s">
        <v>118</v>
      </c>
      <c r="O3" t="s">
        <v>51</v>
      </c>
      <c r="P3" t="s">
        <v>51</v>
      </c>
      <c r="Q3" t="s">
        <v>118</v>
      </c>
      <c r="R3" t="s">
        <v>118</v>
      </c>
      <c r="S3" t="s">
        <v>51</v>
      </c>
      <c r="T3" t="s">
        <v>51</v>
      </c>
      <c r="U3" t="s">
        <v>66</v>
      </c>
      <c r="V3" t="s">
        <v>292</v>
      </c>
      <c r="W3" t="s">
        <v>118</v>
      </c>
      <c r="X3" t="s">
        <v>292</v>
      </c>
      <c r="Y3" t="s">
        <v>63</v>
      </c>
      <c r="Z3" t="s">
        <v>66</v>
      </c>
      <c r="AA3" t="s">
        <v>292</v>
      </c>
      <c r="AB3" t="s">
        <v>298</v>
      </c>
      <c r="AC3" t="s">
        <v>297</v>
      </c>
      <c r="AD3" t="s">
        <v>297</v>
      </c>
      <c r="AE3" t="s">
        <v>299</v>
      </c>
      <c r="AF3" t="s">
        <v>298</v>
      </c>
      <c r="AG3" t="s">
        <v>300</v>
      </c>
      <c r="AH3" t="s">
        <v>292</v>
      </c>
      <c r="AI3" t="s">
        <v>118</v>
      </c>
      <c r="AJ3" t="s">
        <v>51</v>
      </c>
      <c r="AK3" t="s">
        <v>300</v>
      </c>
      <c r="AL3" t="s">
        <v>298</v>
      </c>
      <c r="AM3" t="s">
        <v>299</v>
      </c>
      <c r="AN3" t="s">
        <v>301</v>
      </c>
      <c r="AO3" t="s">
        <v>298</v>
      </c>
      <c r="AP3" t="s">
        <v>302</v>
      </c>
      <c r="AQ3" t="s">
        <v>303</v>
      </c>
      <c r="AR3" t="s">
        <v>296</v>
      </c>
      <c r="AS3" t="s">
        <v>297</v>
      </c>
      <c r="AT3" t="s">
        <v>66</v>
      </c>
      <c r="AU3" t="s">
        <v>299</v>
      </c>
      <c r="AV3" t="s">
        <v>299</v>
      </c>
      <c r="AW3" t="s">
        <v>66</v>
      </c>
      <c r="AX3" t="s">
        <v>66</v>
      </c>
      <c r="AY3" t="s">
        <v>51</v>
      </c>
      <c r="AZ3" t="s">
        <v>60</v>
      </c>
      <c r="BA3" t="s">
        <v>53</v>
      </c>
      <c r="BB3" t="s">
        <v>66</v>
      </c>
      <c r="BC3" t="s">
        <v>60</v>
      </c>
      <c r="BD3" t="s">
        <v>53</v>
      </c>
      <c r="BE3" t="s">
        <v>66</v>
      </c>
      <c r="BF3" t="s">
        <v>60</v>
      </c>
      <c r="BG3" t="s">
        <v>53</v>
      </c>
      <c r="BH3" t="s">
        <v>66</v>
      </c>
      <c r="BI3" t="s">
        <v>60</v>
      </c>
      <c r="BJ3" t="s">
        <v>58</v>
      </c>
      <c r="BK3" t="s">
        <v>66</v>
      </c>
      <c r="BL3" t="s">
        <v>66</v>
      </c>
      <c r="BM3" t="s">
        <v>299</v>
      </c>
      <c r="BN3" t="s">
        <v>66</v>
      </c>
      <c r="BO3" t="s">
        <v>301</v>
      </c>
      <c r="BP3" t="s">
        <v>298</v>
      </c>
      <c r="BQ3" t="s">
        <v>304</v>
      </c>
      <c r="BR3" t="s">
        <v>301</v>
      </c>
      <c r="BS3" t="s">
        <v>298</v>
      </c>
      <c r="BT3" t="s">
        <v>302</v>
      </c>
      <c r="BU3" t="s">
        <v>58</v>
      </c>
      <c r="BV3" t="s">
        <v>298</v>
      </c>
      <c r="BW3" t="s">
        <v>66</v>
      </c>
      <c r="BX3" t="s">
        <v>51</v>
      </c>
      <c r="BY3" t="s">
        <v>298</v>
      </c>
      <c r="BZ3" t="s">
        <v>61</v>
      </c>
      <c r="CA3" t="s">
        <v>305</v>
      </c>
      <c r="CB3" t="s">
        <v>120</v>
      </c>
      <c r="CC3" t="s">
        <v>306</v>
      </c>
      <c r="CD3" t="s">
        <v>307</v>
      </c>
      <c r="CE3" t="s">
        <v>59</v>
      </c>
      <c r="CF3" t="s">
        <v>308</v>
      </c>
      <c r="CG3" s="4">
        <v>-0.34</v>
      </c>
      <c r="CH3" s="4">
        <v>-0.34</v>
      </c>
      <c r="CI3" s="4">
        <v>-0.333</v>
      </c>
      <c r="CJ3" s="4">
        <v>-0.34</v>
      </c>
      <c r="CK3" s="4">
        <v>-0.34</v>
      </c>
      <c r="CL3" s="4">
        <v>-0.333</v>
      </c>
      <c r="CM3" s="4">
        <v>-0.343</v>
      </c>
      <c r="CN3" s="4">
        <v>-0.349</v>
      </c>
      <c r="CO3" s="4">
        <v>-0.357</v>
      </c>
      <c r="CP3" s="4">
        <v>-0.345</v>
      </c>
      <c r="CQ3" s="4">
        <v>-0.353</v>
      </c>
      <c r="CR3" s="4">
        <v>-0.356</v>
      </c>
      <c r="CS3" t="s">
        <v>61</v>
      </c>
      <c r="CT3" t="s">
        <v>58</v>
      </c>
      <c r="CU3" t="s">
        <v>305</v>
      </c>
      <c r="CV3" t="s">
        <v>62</v>
      </c>
      <c r="CW3" t="s">
        <v>121</v>
      </c>
      <c r="CX3" t="s">
        <v>298</v>
      </c>
      <c r="CY3" t="s">
        <v>50</v>
      </c>
      <c r="CZ3" t="s">
        <v>309</v>
      </c>
      <c r="DA3" t="s">
        <v>310</v>
      </c>
      <c r="DB3" t="s">
        <v>61</v>
      </c>
      <c r="DC3" t="s">
        <v>309</v>
      </c>
      <c r="DD3" t="s">
        <v>305</v>
      </c>
      <c r="DE3" t="s">
        <v>60</v>
      </c>
      <c r="DF3" t="s">
        <v>58</v>
      </c>
      <c r="DG3" t="s">
        <v>311</v>
      </c>
      <c r="DH3" s="4">
        <v>-0.34</v>
      </c>
      <c r="DI3" s="4">
        <v>-0.355</v>
      </c>
      <c r="DJ3" s="4">
        <v>-0.344</v>
      </c>
      <c r="DK3" s="4">
        <v>-0.333</v>
      </c>
      <c r="DL3" s="4">
        <v>-0.349</v>
      </c>
      <c r="DM3" s="4">
        <v>-0.347</v>
      </c>
      <c r="DN3" s="4">
        <v>-0.341</v>
      </c>
      <c r="DO3" s="4">
        <v>-0.34</v>
      </c>
      <c r="DP3" s="4">
        <v>-0.343</v>
      </c>
      <c r="DQ3" s="4">
        <v>-0.341</v>
      </c>
      <c r="DR3" s="4">
        <v>-0.34</v>
      </c>
      <c r="DS3" s="4">
        <v>-0.333</v>
      </c>
      <c r="DT3" t="s">
        <v>61</v>
      </c>
      <c r="DU3" t="s">
        <v>62</v>
      </c>
      <c r="DV3" t="s">
        <v>304</v>
      </c>
      <c r="DW3" t="s">
        <v>54</v>
      </c>
      <c r="DX3" t="s">
        <v>118</v>
      </c>
      <c r="DY3" t="s">
        <v>301</v>
      </c>
      <c r="DZ3" t="s">
        <v>51</v>
      </c>
      <c r="EA3" t="s">
        <v>62</v>
      </c>
      <c r="EB3" t="s">
        <v>54</v>
      </c>
      <c r="EC3" t="s">
        <v>65</v>
      </c>
      <c r="ED3" t="s">
        <v>61</v>
      </c>
      <c r="EE3" t="s">
        <v>56</v>
      </c>
      <c r="EF3" t="s">
        <v>309</v>
      </c>
      <c r="EG3" t="s">
        <v>312</v>
      </c>
      <c r="EH3" t="s">
        <v>313</v>
      </c>
      <c r="EI3" t="s">
        <v>50</v>
      </c>
      <c r="EJ3" t="s">
        <v>118</v>
      </c>
      <c r="EK3" t="s">
        <v>311</v>
      </c>
      <c r="EL3" t="s">
        <v>66</v>
      </c>
      <c r="EM3" t="s">
        <v>121</v>
      </c>
      <c r="EN3" t="s">
        <v>314</v>
      </c>
      <c r="EO3" t="s">
        <v>61</v>
      </c>
      <c r="EP3" t="s">
        <v>54</v>
      </c>
      <c r="EQ3" t="s">
        <v>314</v>
      </c>
      <c r="ER3" t="s">
        <v>50</v>
      </c>
      <c r="ES3" t="s">
        <v>51</v>
      </c>
      <c r="ET3" t="s">
        <v>118</v>
      </c>
    </row>
    <row r="4" ht="14.25" spans="1:150">
      <c r="A4" t="s">
        <v>315</v>
      </c>
      <c r="B4" t="s">
        <v>83</v>
      </c>
      <c r="C4" t="s">
        <v>73</v>
      </c>
      <c r="D4" t="s">
        <v>316</v>
      </c>
      <c r="E4" t="s">
        <v>317</v>
      </c>
      <c r="F4" t="s">
        <v>315</v>
      </c>
      <c r="G4" t="s">
        <v>318</v>
      </c>
      <c r="H4" t="s">
        <v>319</v>
      </c>
      <c r="I4" t="s">
        <v>77</v>
      </c>
      <c r="J4" t="s">
        <v>320</v>
      </c>
      <c r="K4" t="s">
        <v>320</v>
      </c>
      <c r="L4" t="s">
        <v>321</v>
      </c>
      <c r="M4" t="s">
        <v>319</v>
      </c>
      <c r="N4" t="s">
        <v>77</v>
      </c>
      <c r="O4" t="s">
        <v>319</v>
      </c>
      <c r="P4" t="s">
        <v>319</v>
      </c>
      <c r="Q4" t="s">
        <v>125</v>
      </c>
      <c r="R4" t="s">
        <v>322</v>
      </c>
      <c r="S4" t="s">
        <v>83</v>
      </c>
      <c r="T4" t="s">
        <v>319</v>
      </c>
      <c r="U4" t="s">
        <v>83</v>
      </c>
      <c r="V4" t="s">
        <v>77</v>
      </c>
      <c r="W4" t="s">
        <v>319</v>
      </c>
      <c r="X4" t="s">
        <v>83</v>
      </c>
      <c r="Y4" t="s">
        <v>319</v>
      </c>
      <c r="Z4" t="s">
        <v>73</v>
      </c>
      <c r="AA4" t="s">
        <v>319</v>
      </c>
      <c r="AB4" t="s">
        <v>323</v>
      </c>
      <c r="AC4" t="s">
        <v>321</v>
      </c>
      <c r="AD4" t="s">
        <v>320</v>
      </c>
      <c r="AE4" t="s">
        <v>324</v>
      </c>
      <c r="AF4" t="s">
        <v>321</v>
      </c>
      <c r="AG4" t="s">
        <v>320</v>
      </c>
      <c r="AH4" t="s">
        <v>315</v>
      </c>
      <c r="AI4" t="s">
        <v>319</v>
      </c>
      <c r="AJ4" t="s">
        <v>322</v>
      </c>
      <c r="AK4" t="s">
        <v>320</v>
      </c>
      <c r="AL4" t="s">
        <v>324</v>
      </c>
      <c r="AM4" t="s">
        <v>320</v>
      </c>
      <c r="AN4" t="s">
        <v>325</v>
      </c>
      <c r="AO4" t="s">
        <v>321</v>
      </c>
      <c r="AP4" t="s">
        <v>326</v>
      </c>
      <c r="AQ4" t="s">
        <v>324</v>
      </c>
      <c r="AR4" t="s">
        <v>326</v>
      </c>
      <c r="AS4" t="s">
        <v>325</v>
      </c>
      <c r="AT4" t="s">
        <v>325</v>
      </c>
      <c r="AU4" t="s">
        <v>326</v>
      </c>
      <c r="AV4" t="s">
        <v>324</v>
      </c>
      <c r="AW4" t="s">
        <v>327</v>
      </c>
      <c r="AX4" t="s">
        <v>327</v>
      </c>
      <c r="AY4" t="s">
        <v>327</v>
      </c>
      <c r="AZ4" t="s">
        <v>327</v>
      </c>
      <c r="BA4" t="s">
        <v>327</v>
      </c>
      <c r="BB4" t="s">
        <v>327</v>
      </c>
      <c r="BC4" t="s">
        <v>327</v>
      </c>
      <c r="BD4" t="s">
        <v>327</v>
      </c>
      <c r="BE4" t="s">
        <v>327</v>
      </c>
      <c r="BF4" t="s">
        <v>328</v>
      </c>
      <c r="BG4" t="s">
        <v>327</v>
      </c>
      <c r="BH4" t="s">
        <v>329</v>
      </c>
      <c r="BI4" t="s">
        <v>328</v>
      </c>
      <c r="BJ4" t="s">
        <v>330</v>
      </c>
      <c r="BK4" t="s">
        <v>329</v>
      </c>
      <c r="BL4" t="s">
        <v>327</v>
      </c>
      <c r="BM4" t="s">
        <v>326</v>
      </c>
      <c r="BN4" t="s">
        <v>329</v>
      </c>
      <c r="BO4" t="s">
        <v>325</v>
      </c>
      <c r="BP4" t="s">
        <v>331</v>
      </c>
      <c r="BQ4" t="s">
        <v>332</v>
      </c>
      <c r="BR4" t="s">
        <v>325</v>
      </c>
      <c r="BS4" t="s">
        <v>321</v>
      </c>
      <c r="BT4" t="s">
        <v>326</v>
      </c>
      <c r="BU4" t="s">
        <v>78</v>
      </c>
      <c r="BV4" t="s">
        <v>321</v>
      </c>
      <c r="BW4" t="s">
        <v>79</v>
      </c>
      <c r="BX4" t="s">
        <v>69</v>
      </c>
      <c r="BY4" t="s">
        <v>321</v>
      </c>
      <c r="BZ4" t="s">
        <v>74</v>
      </c>
      <c r="CA4" t="s">
        <v>331</v>
      </c>
      <c r="CB4" t="s">
        <v>325</v>
      </c>
      <c r="CC4" t="s">
        <v>333</v>
      </c>
      <c r="CD4" t="s">
        <v>317</v>
      </c>
      <c r="CE4" t="s">
        <v>125</v>
      </c>
      <c r="CF4" t="s">
        <v>334</v>
      </c>
      <c r="CG4" s="4">
        <v>0.335</v>
      </c>
      <c r="CH4" s="4">
        <v>0.328</v>
      </c>
      <c r="CI4" s="4">
        <v>0.33</v>
      </c>
      <c r="CJ4" s="4">
        <v>0.335</v>
      </c>
      <c r="CK4" s="4">
        <v>0.328</v>
      </c>
      <c r="CL4" s="4">
        <v>0.33</v>
      </c>
      <c r="CM4" s="4">
        <v>0.337</v>
      </c>
      <c r="CN4" s="4">
        <v>0.33</v>
      </c>
      <c r="CO4" s="4">
        <v>0.337</v>
      </c>
      <c r="CP4" s="4">
        <v>0.339</v>
      </c>
      <c r="CQ4" s="4">
        <v>0.336</v>
      </c>
      <c r="CR4" s="4">
        <v>0.334</v>
      </c>
      <c r="CS4" t="s">
        <v>74</v>
      </c>
      <c r="CT4" t="s">
        <v>125</v>
      </c>
      <c r="CU4" t="s">
        <v>335</v>
      </c>
      <c r="CV4" t="s">
        <v>79</v>
      </c>
      <c r="CW4" t="s">
        <v>125</v>
      </c>
      <c r="CX4" t="s">
        <v>325</v>
      </c>
      <c r="CY4" t="s">
        <v>73</v>
      </c>
      <c r="CZ4" t="s">
        <v>68</v>
      </c>
      <c r="DA4" t="s">
        <v>336</v>
      </c>
      <c r="DB4" t="s">
        <v>337</v>
      </c>
      <c r="DC4" t="s">
        <v>68</v>
      </c>
      <c r="DD4" t="s">
        <v>338</v>
      </c>
      <c r="DE4" t="s">
        <v>125</v>
      </c>
      <c r="DF4" t="s">
        <v>68</v>
      </c>
      <c r="DG4" t="s">
        <v>339</v>
      </c>
      <c r="DH4" s="4">
        <v>0.333</v>
      </c>
      <c r="DI4" s="4">
        <v>0.341</v>
      </c>
      <c r="DJ4" s="4">
        <v>0.339</v>
      </c>
      <c r="DK4" s="4">
        <v>0.337</v>
      </c>
      <c r="DL4" s="4">
        <v>0.34</v>
      </c>
      <c r="DM4" s="4">
        <v>0.337</v>
      </c>
      <c r="DN4" s="4">
        <v>0.33</v>
      </c>
      <c r="DO4" s="4">
        <v>0.328</v>
      </c>
      <c r="DP4" s="4">
        <v>0.335</v>
      </c>
      <c r="DQ4" s="4">
        <v>0.332</v>
      </c>
      <c r="DR4" s="4">
        <v>0.328</v>
      </c>
      <c r="DS4" s="4">
        <v>0.33</v>
      </c>
      <c r="DT4" t="s">
        <v>71</v>
      </c>
      <c r="DU4" t="s">
        <v>337</v>
      </c>
      <c r="DV4" t="s">
        <v>340</v>
      </c>
      <c r="DW4" t="s">
        <v>82</v>
      </c>
      <c r="DX4" t="s">
        <v>315</v>
      </c>
      <c r="DY4" t="s">
        <v>72</v>
      </c>
      <c r="DZ4" t="s">
        <v>69</v>
      </c>
      <c r="EA4" t="s">
        <v>125</v>
      </c>
      <c r="EB4" t="s">
        <v>80</v>
      </c>
      <c r="EC4" t="s">
        <v>122</v>
      </c>
      <c r="ED4" t="s">
        <v>70</v>
      </c>
      <c r="EE4" t="s">
        <v>76</v>
      </c>
      <c r="EF4" t="s">
        <v>67</v>
      </c>
      <c r="EG4" t="s">
        <v>337</v>
      </c>
      <c r="EH4" t="s">
        <v>123</v>
      </c>
      <c r="EI4" t="s">
        <v>75</v>
      </c>
      <c r="EJ4" t="s">
        <v>70</v>
      </c>
      <c r="EK4" t="s">
        <v>78</v>
      </c>
      <c r="EL4" t="s">
        <v>83</v>
      </c>
      <c r="EM4" t="s">
        <v>75</v>
      </c>
      <c r="EN4" t="s">
        <v>82</v>
      </c>
      <c r="EO4" t="s">
        <v>67</v>
      </c>
      <c r="EP4" t="s">
        <v>337</v>
      </c>
      <c r="EQ4" t="s">
        <v>123</v>
      </c>
      <c r="ER4" t="s">
        <v>81</v>
      </c>
      <c r="ES4" t="s">
        <v>74</v>
      </c>
      <c r="ET4" t="s">
        <v>79</v>
      </c>
    </row>
    <row r="5" ht="14.25" spans="1:150">
      <c r="A5" t="s">
        <v>98</v>
      </c>
      <c r="B5" t="s">
        <v>98</v>
      </c>
      <c r="C5" t="s">
        <v>98</v>
      </c>
      <c r="D5" t="s">
        <v>341</v>
      </c>
      <c r="E5" t="s">
        <v>342</v>
      </c>
      <c r="F5" t="s">
        <v>95</v>
      </c>
      <c r="G5" t="s">
        <v>95</v>
      </c>
      <c r="H5" t="s">
        <v>343</v>
      </c>
      <c r="I5" t="s">
        <v>95</v>
      </c>
      <c r="J5" t="s">
        <v>344</v>
      </c>
      <c r="K5" t="s">
        <v>345</v>
      </c>
      <c r="L5" t="s">
        <v>346</v>
      </c>
      <c r="M5" t="s">
        <v>343</v>
      </c>
      <c r="N5" t="s">
        <v>85</v>
      </c>
      <c r="O5" t="s">
        <v>95</v>
      </c>
      <c r="P5" t="s">
        <v>95</v>
      </c>
      <c r="Q5" t="s">
        <v>98</v>
      </c>
      <c r="R5" t="s">
        <v>347</v>
      </c>
      <c r="S5" t="s">
        <v>348</v>
      </c>
      <c r="T5" t="s">
        <v>348</v>
      </c>
      <c r="U5" t="s">
        <v>349</v>
      </c>
      <c r="V5" t="s">
        <v>98</v>
      </c>
      <c r="W5" t="s">
        <v>95</v>
      </c>
      <c r="X5" t="s">
        <v>341</v>
      </c>
      <c r="Y5" t="s">
        <v>350</v>
      </c>
      <c r="Z5" t="s">
        <v>351</v>
      </c>
      <c r="AA5" t="s">
        <v>95</v>
      </c>
      <c r="AB5" t="s">
        <v>352</v>
      </c>
      <c r="AC5" t="s">
        <v>344</v>
      </c>
      <c r="AD5" t="s">
        <v>353</v>
      </c>
      <c r="AE5" t="s">
        <v>354</v>
      </c>
      <c r="AF5" t="s">
        <v>355</v>
      </c>
      <c r="AG5" t="s">
        <v>356</v>
      </c>
      <c r="AH5" t="s">
        <v>341</v>
      </c>
      <c r="AI5" t="s">
        <v>357</v>
      </c>
      <c r="AJ5" t="s">
        <v>357</v>
      </c>
      <c r="AK5" t="s">
        <v>344</v>
      </c>
      <c r="AL5" t="s">
        <v>356</v>
      </c>
      <c r="AM5" t="s">
        <v>352</v>
      </c>
      <c r="AN5" t="s">
        <v>344</v>
      </c>
      <c r="AO5" t="s">
        <v>345</v>
      </c>
      <c r="AP5" t="s">
        <v>356</v>
      </c>
      <c r="AQ5" t="s">
        <v>358</v>
      </c>
      <c r="AR5" t="s">
        <v>129</v>
      </c>
      <c r="AS5" t="s">
        <v>356</v>
      </c>
      <c r="AT5" t="s">
        <v>98</v>
      </c>
      <c r="AU5" t="s">
        <v>349</v>
      </c>
      <c r="AV5" t="s">
        <v>356</v>
      </c>
      <c r="AW5" t="s">
        <v>359</v>
      </c>
      <c r="AX5" t="s">
        <v>360</v>
      </c>
      <c r="AY5" t="s">
        <v>360</v>
      </c>
      <c r="AZ5" t="s">
        <v>361</v>
      </c>
      <c r="BA5" t="s">
        <v>362</v>
      </c>
      <c r="BB5" t="s">
        <v>363</v>
      </c>
      <c r="BC5" t="s">
        <v>361</v>
      </c>
      <c r="BD5" t="s">
        <v>362</v>
      </c>
      <c r="BE5" t="s">
        <v>363</v>
      </c>
      <c r="BF5" t="s">
        <v>359</v>
      </c>
      <c r="BG5" t="s">
        <v>362</v>
      </c>
      <c r="BH5" t="s">
        <v>360</v>
      </c>
      <c r="BI5" t="s">
        <v>359</v>
      </c>
      <c r="BJ5" t="s">
        <v>364</v>
      </c>
      <c r="BK5" t="s">
        <v>365</v>
      </c>
      <c r="BL5" t="s">
        <v>363</v>
      </c>
      <c r="BM5" t="s">
        <v>349</v>
      </c>
      <c r="BN5" t="s">
        <v>365</v>
      </c>
      <c r="BO5" t="s">
        <v>356</v>
      </c>
      <c r="BP5" t="s">
        <v>345</v>
      </c>
      <c r="BQ5" t="s">
        <v>366</v>
      </c>
      <c r="BR5" t="s">
        <v>344</v>
      </c>
      <c r="BS5" t="s">
        <v>345</v>
      </c>
      <c r="BT5" t="s">
        <v>356</v>
      </c>
      <c r="BU5" t="s">
        <v>367</v>
      </c>
      <c r="BV5" t="s">
        <v>345</v>
      </c>
      <c r="BW5" t="s">
        <v>367</v>
      </c>
      <c r="BX5" t="s">
        <v>367</v>
      </c>
      <c r="BY5" t="s">
        <v>345</v>
      </c>
      <c r="BZ5" t="s">
        <v>90</v>
      </c>
      <c r="CA5" t="s">
        <v>368</v>
      </c>
      <c r="CB5" t="s">
        <v>368</v>
      </c>
      <c r="CC5" t="s">
        <v>369</v>
      </c>
      <c r="CD5" t="s">
        <v>95</v>
      </c>
      <c r="CE5" t="s">
        <v>99</v>
      </c>
      <c r="CF5" t="s">
        <v>370</v>
      </c>
      <c r="CG5" s="4">
        <v>1.177</v>
      </c>
      <c r="CH5" s="4">
        <v>1.16</v>
      </c>
      <c r="CI5" s="4">
        <v>1.178</v>
      </c>
      <c r="CJ5" s="4">
        <v>1.177</v>
      </c>
      <c r="CK5" s="4">
        <v>1.16</v>
      </c>
      <c r="CL5" s="4">
        <v>1.178</v>
      </c>
      <c r="CM5" s="4">
        <v>1.17</v>
      </c>
      <c r="CN5" s="4">
        <v>1.168</v>
      </c>
      <c r="CO5" s="4">
        <v>1.173</v>
      </c>
      <c r="CP5" s="4">
        <v>1.172</v>
      </c>
      <c r="CQ5" s="4">
        <v>1.168</v>
      </c>
      <c r="CR5" s="4">
        <v>1.175</v>
      </c>
      <c r="CS5" t="s">
        <v>98</v>
      </c>
      <c r="CT5" t="s">
        <v>89</v>
      </c>
      <c r="CU5" t="s">
        <v>97</v>
      </c>
      <c r="CV5" t="s">
        <v>93</v>
      </c>
      <c r="CW5" t="s">
        <v>99</v>
      </c>
      <c r="CX5" t="s">
        <v>95</v>
      </c>
      <c r="CY5" t="s">
        <v>95</v>
      </c>
      <c r="CZ5" t="s">
        <v>98</v>
      </c>
      <c r="DA5" t="s">
        <v>97</v>
      </c>
      <c r="DB5" t="s">
        <v>95</v>
      </c>
      <c r="DC5" t="s">
        <v>88</v>
      </c>
      <c r="DD5" t="s">
        <v>97</v>
      </c>
      <c r="DE5" t="s">
        <v>92</v>
      </c>
      <c r="DF5" t="s">
        <v>371</v>
      </c>
      <c r="DG5" t="s">
        <v>95</v>
      </c>
      <c r="DH5" s="4">
        <v>1.176</v>
      </c>
      <c r="DI5" s="4">
        <v>1.17</v>
      </c>
      <c r="DJ5" s="4">
        <v>1.17</v>
      </c>
      <c r="DK5" s="4">
        <v>1.177</v>
      </c>
      <c r="DL5" s="4">
        <v>1.168</v>
      </c>
      <c r="DM5" s="4">
        <v>1.173</v>
      </c>
      <c r="DN5" s="4">
        <v>1.177</v>
      </c>
      <c r="DO5" s="4">
        <v>1.165</v>
      </c>
      <c r="DP5" s="4">
        <v>1.171</v>
      </c>
      <c r="DQ5" s="4">
        <v>1.177</v>
      </c>
      <c r="DR5" s="4">
        <v>1.16</v>
      </c>
      <c r="DS5" s="4">
        <v>1.175</v>
      </c>
      <c r="DT5" t="s">
        <v>97</v>
      </c>
      <c r="DU5" t="s">
        <v>99</v>
      </c>
      <c r="DV5" t="s">
        <v>344</v>
      </c>
      <c r="DW5" t="s">
        <v>372</v>
      </c>
      <c r="DX5" t="s">
        <v>126</v>
      </c>
      <c r="DY5" t="s">
        <v>373</v>
      </c>
      <c r="DZ5" t="s">
        <v>374</v>
      </c>
      <c r="EA5" t="s">
        <v>88</v>
      </c>
      <c r="EB5" t="s">
        <v>375</v>
      </c>
      <c r="EC5" t="s">
        <v>376</v>
      </c>
      <c r="ED5" t="s">
        <v>96</v>
      </c>
      <c r="EE5" t="s">
        <v>344</v>
      </c>
      <c r="EF5" t="s">
        <v>92</v>
      </c>
      <c r="EG5" t="s">
        <v>343</v>
      </c>
      <c r="EH5" t="s">
        <v>344</v>
      </c>
      <c r="EI5" t="s">
        <v>128</v>
      </c>
      <c r="EJ5" t="s">
        <v>95</v>
      </c>
      <c r="EK5" t="s">
        <v>377</v>
      </c>
      <c r="EL5" t="s">
        <v>93</v>
      </c>
      <c r="EM5" t="s">
        <v>97</v>
      </c>
      <c r="EN5" t="s">
        <v>99</v>
      </c>
      <c r="EO5" t="s">
        <v>92</v>
      </c>
      <c r="EP5" t="s">
        <v>128</v>
      </c>
      <c r="EQ5" t="s">
        <v>373</v>
      </c>
      <c r="ER5" t="s">
        <v>367</v>
      </c>
      <c r="ES5" t="s">
        <v>93</v>
      </c>
      <c r="ET5" t="s">
        <v>92</v>
      </c>
    </row>
    <row r="19" ht="14.25" spans="104:106">
      <c r="CZ19" s="4"/>
      <c r="DA19" s="4"/>
      <c r="DB19" s="4"/>
    </row>
    <row r="20" ht="14.25" spans="104:106">
      <c r="CZ20" s="4"/>
      <c r="DA20" s="4"/>
      <c r="DB20" s="4"/>
    </row>
    <row r="21" ht="14.25" spans="104:108">
      <c r="CZ21" s="4"/>
      <c r="DA21" s="4"/>
      <c r="DB21" s="4"/>
      <c r="DC21" s="4"/>
      <c r="DD21" s="4"/>
    </row>
    <row r="22" ht="14.25" spans="82:107"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Z22" s="4"/>
      <c r="DA22" s="4"/>
      <c r="DB22" s="4"/>
      <c r="DC22" s="4"/>
    </row>
    <row r="23" ht="14.25" spans="82:108"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/>
      <c r="CZ23" s="4"/>
      <c r="DA23" s="4"/>
      <c r="DB23" s="4"/>
      <c r="DC23" s="4"/>
      <c r="DD23" s="4"/>
    </row>
    <row r="24" ht="14.25" spans="82:107"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Z24" s="4"/>
      <c r="DA24" s="4"/>
      <c r="DB24" s="4"/>
      <c r="DC24" s="4"/>
    </row>
    <row r="25" ht="14.25" spans="82:108"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/>
      <c r="CZ25" s="4"/>
      <c r="DA25" s="4"/>
      <c r="DB25" s="4"/>
      <c r="DC25" s="4"/>
      <c r="DD25" s="4"/>
    </row>
    <row r="26" ht="14.25" spans="82:107"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Z26" s="4"/>
      <c r="DA26" s="4"/>
      <c r="DB26" s="4"/>
      <c r="DC26" s="4"/>
    </row>
    <row r="27" ht="14.25" spans="80:108">
      <c r="CB27" s="4"/>
      <c r="CC27" s="4"/>
      <c r="CD27" s="4"/>
      <c r="CE27"/>
      <c r="CF27"/>
      <c r="CS27" s="4"/>
      <c r="CT27"/>
      <c r="CZ27" s="4"/>
      <c r="DA27" s="4"/>
      <c r="DB27" s="4"/>
      <c r="DC27" s="4"/>
      <c r="DD27" s="4"/>
    </row>
    <row r="28" ht="14.25" spans="80:107">
      <c r="CB28" s="4"/>
      <c r="CC28" s="4"/>
      <c r="CD28" s="4"/>
      <c r="CE28"/>
      <c r="CF28"/>
      <c r="CS28" s="4"/>
      <c r="CT28" s="4"/>
      <c r="CZ28" s="4"/>
      <c r="DA28" s="4"/>
      <c r="DB28" s="4"/>
      <c r="DC28" s="4"/>
    </row>
    <row r="29" ht="14.25" spans="80:108"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/>
      <c r="CZ29" s="4"/>
      <c r="DA29" s="4"/>
      <c r="DB29" s="4"/>
      <c r="DC29" s="4"/>
      <c r="DD29" s="4"/>
    </row>
    <row r="30" ht="14.25" spans="80:107">
      <c r="CB30" s="4"/>
      <c r="CC30" s="4"/>
      <c r="CD30" s="4"/>
      <c r="CE30" s="4"/>
      <c r="CF30"/>
      <c r="CS30" s="4"/>
      <c r="CT30" s="4"/>
      <c r="CZ30" s="4"/>
      <c r="DA30" s="4"/>
      <c r="DB30" s="4"/>
      <c r="DC30" s="4"/>
    </row>
    <row r="31" ht="14.25" spans="80:108"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/>
      <c r="CZ31" s="4"/>
      <c r="DA31" s="4"/>
      <c r="DB31" s="4"/>
      <c r="DC31" s="4"/>
      <c r="DD31" s="4"/>
    </row>
    <row r="32" ht="14.25" spans="80:107">
      <c r="CB32" s="4"/>
      <c r="CC32" s="4"/>
      <c r="CD32" s="4"/>
      <c r="CE32" s="4"/>
      <c r="CF32"/>
      <c r="CZ32" s="4"/>
      <c r="DA32" s="4"/>
      <c r="DB32" s="4"/>
      <c r="DC32" s="4"/>
    </row>
    <row r="33" ht="14.25" spans="80:108">
      <c r="CB33" s="4"/>
      <c r="CC33" s="4"/>
      <c r="CD33" s="4"/>
      <c r="CE33" s="4"/>
      <c r="CF33" s="4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Z33" s="4"/>
      <c r="DA33" s="4"/>
      <c r="DB33" s="4"/>
      <c r="DC33" s="4"/>
      <c r="DD33" s="4"/>
    </row>
    <row r="34" ht="14.25" spans="80:107">
      <c r="CB34" s="4"/>
      <c r="CC34" s="4"/>
      <c r="CD34" s="4"/>
      <c r="CE34" s="4"/>
      <c r="CF34"/>
      <c r="CZ34" s="4"/>
      <c r="DA34" s="4"/>
      <c r="DB34" s="4"/>
      <c r="DC34" s="4"/>
    </row>
    <row r="35" ht="14.25" spans="80:96">
      <c r="CB35" s="4"/>
      <c r="CC35" s="4"/>
      <c r="CD35" s="4"/>
      <c r="CE35" s="4"/>
      <c r="CF35" s="4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</row>
    <row r="36" ht="14.25" spans="80:83">
      <c r="CB36" s="4"/>
      <c r="CC36" s="4"/>
      <c r="CD36" s="4"/>
      <c r="CE36" s="4"/>
    </row>
    <row r="37" ht="14.25" spans="80:96">
      <c r="CB37" s="4"/>
      <c r="CC37" s="4"/>
      <c r="CD37" s="4"/>
      <c r="CE37" s="4"/>
      <c r="CF37" s="4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</row>
    <row r="38" ht="14.25" spans="80:83">
      <c r="CB38" s="4"/>
      <c r="CC38" s="4"/>
      <c r="CD38" s="4"/>
      <c r="CE38" s="4"/>
    </row>
    <row r="39" ht="14.25" spans="80:96">
      <c r="CB39" s="4"/>
      <c r="CC39" s="4"/>
      <c r="CD39" s="4"/>
      <c r="CE39" s="4"/>
      <c r="CF39" s="4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</row>
    <row r="40" ht="14.25" spans="80:83">
      <c r="CB40" s="4"/>
      <c r="CC40" s="4"/>
      <c r="CD40" s="4"/>
      <c r="CE40" s="4"/>
    </row>
    <row r="41" ht="14.25" spans="80:96">
      <c r="CB41" s="4"/>
      <c r="CC41" s="4"/>
      <c r="CD41" s="4"/>
      <c r="CE41" s="4"/>
      <c r="CF41" s="4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</row>
    <row r="42" ht="14.25" spans="80:83">
      <c r="CB42" s="4"/>
      <c r="CC42" s="4"/>
      <c r="CD42" s="4"/>
      <c r="CE42" s="4"/>
    </row>
  </sheetData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G149"/>
  <sheetViews>
    <sheetView workbookViewId="0">
      <selection activeCell="M9" sqref="M9"/>
    </sheetView>
  </sheetViews>
  <sheetFormatPr defaultColWidth="9" defaultRowHeight="13.5"/>
  <sheetData>
    <row r="1" ht="14.25" spans="1:163">
      <c r="A1" s="1">
        <v>-4.302</v>
      </c>
      <c r="B1" s="1">
        <v>-0.357</v>
      </c>
      <c r="C1" s="1">
        <v>1.178</v>
      </c>
      <c r="D1" s="1">
        <v>0.337</v>
      </c>
      <c r="I1" t="s">
        <v>378</v>
      </c>
      <c r="J1" t="s">
        <v>379</v>
      </c>
      <c r="K1" t="s">
        <v>380</v>
      </c>
      <c r="L1" t="s">
        <v>381</v>
      </c>
      <c r="M1"/>
      <c r="N1"/>
      <c r="O1" t="s">
        <v>144</v>
      </c>
      <c r="P1" t="s">
        <v>144</v>
      </c>
      <c r="Q1" t="s">
        <v>101</v>
      </c>
      <c r="R1" t="s">
        <v>102</v>
      </c>
      <c r="S1" t="s">
        <v>145</v>
      </c>
      <c r="T1" t="s">
        <v>146</v>
      </c>
      <c r="U1" t="s">
        <v>106</v>
      </c>
      <c r="V1" t="s">
        <v>147</v>
      </c>
      <c r="W1" t="s">
        <v>148</v>
      </c>
      <c r="X1" t="s">
        <v>109</v>
      </c>
      <c r="Y1" t="s">
        <v>149</v>
      </c>
      <c r="Z1" t="s">
        <v>150</v>
      </c>
      <c r="AA1" t="s">
        <v>151</v>
      </c>
      <c r="AB1" t="s">
        <v>152</v>
      </c>
      <c r="AC1" t="s">
        <v>113</v>
      </c>
      <c r="AD1" t="s">
        <v>153</v>
      </c>
      <c r="AE1" t="s">
        <v>154</v>
      </c>
      <c r="AF1" t="s">
        <v>4</v>
      </c>
      <c r="AG1" t="s">
        <v>155</v>
      </c>
      <c r="AH1" t="s">
        <v>156</v>
      </c>
      <c r="AI1" t="s">
        <v>7</v>
      </c>
      <c r="AJ1" t="s">
        <v>157</v>
      </c>
      <c r="AK1" t="s">
        <v>158</v>
      </c>
      <c r="AL1" t="s">
        <v>10</v>
      </c>
      <c r="AM1" t="s">
        <v>159</v>
      </c>
      <c r="AN1" t="s">
        <v>160</v>
      </c>
      <c r="AO1" t="s">
        <v>13</v>
      </c>
      <c r="AP1" t="s">
        <v>161</v>
      </c>
      <c r="AQ1" t="s">
        <v>162</v>
      </c>
      <c r="AR1" t="s">
        <v>163</v>
      </c>
      <c r="AS1" t="s">
        <v>164</v>
      </c>
      <c r="AT1" t="s">
        <v>165</v>
      </c>
      <c r="AU1" t="s">
        <v>166</v>
      </c>
      <c r="AV1" t="s">
        <v>167</v>
      </c>
      <c r="AW1" t="s">
        <v>20</v>
      </c>
      <c r="AX1" t="s">
        <v>168</v>
      </c>
      <c r="AY1" t="s">
        <v>169</v>
      </c>
      <c r="AZ1" t="s">
        <v>170</v>
      </c>
      <c r="BA1" t="s">
        <v>171</v>
      </c>
      <c r="BB1" t="s">
        <v>172</v>
      </c>
      <c r="BC1" t="s">
        <v>26</v>
      </c>
      <c r="BD1" t="s">
        <v>27</v>
      </c>
      <c r="BE1" t="s">
        <v>173</v>
      </c>
      <c r="BF1" t="s">
        <v>174</v>
      </c>
      <c r="BG1" t="s">
        <v>175</v>
      </c>
      <c r="BH1" t="s">
        <v>176</v>
      </c>
      <c r="BI1" t="s">
        <v>177</v>
      </c>
      <c r="BJ1" t="s">
        <v>178</v>
      </c>
      <c r="BK1" t="s">
        <v>179</v>
      </c>
      <c r="BL1" t="s">
        <v>180</v>
      </c>
      <c r="BM1" t="s">
        <v>181</v>
      </c>
      <c r="BN1" t="s">
        <v>182</v>
      </c>
      <c r="BO1" t="s">
        <v>183</v>
      </c>
      <c r="BP1" t="s">
        <v>184</v>
      </c>
      <c r="BQ1" t="s">
        <v>185</v>
      </c>
      <c r="BR1" t="s">
        <v>186</v>
      </c>
      <c r="BS1" t="s">
        <v>187</v>
      </c>
      <c r="BT1" t="s">
        <v>188</v>
      </c>
      <c r="BU1" t="s">
        <v>189</v>
      </c>
      <c r="BV1" t="s">
        <v>190</v>
      </c>
      <c r="BW1" t="s">
        <v>191</v>
      </c>
      <c r="BX1" t="s">
        <v>192</v>
      </c>
      <c r="BY1" t="s">
        <v>193</v>
      </c>
      <c r="BZ1" t="s">
        <v>194</v>
      </c>
      <c r="CA1" t="s">
        <v>195</v>
      </c>
      <c r="CB1" t="s">
        <v>196</v>
      </c>
      <c r="CC1" t="s">
        <v>197</v>
      </c>
      <c r="CD1" t="s">
        <v>198</v>
      </c>
      <c r="CE1" t="s">
        <v>199</v>
      </c>
      <c r="CF1" t="s">
        <v>200</v>
      </c>
      <c r="CG1" t="s">
        <v>201</v>
      </c>
      <c r="CH1" t="s">
        <v>202</v>
      </c>
      <c r="CI1" t="s">
        <v>203</v>
      </c>
      <c r="CJ1" t="s">
        <v>204</v>
      </c>
      <c r="CK1" t="s">
        <v>205</v>
      </c>
      <c r="CL1" t="s">
        <v>206</v>
      </c>
      <c r="CM1" t="s">
        <v>207</v>
      </c>
      <c r="CN1" t="s">
        <v>208</v>
      </c>
      <c r="CO1" t="s">
        <v>209</v>
      </c>
      <c r="CP1" t="s">
        <v>210</v>
      </c>
      <c r="CQ1" t="s">
        <v>211</v>
      </c>
      <c r="CR1" t="s">
        <v>212</v>
      </c>
      <c r="CS1" t="s">
        <v>213</v>
      </c>
      <c r="CT1" s="4">
        <v>7.29</v>
      </c>
      <c r="CU1" s="4">
        <v>8.1</v>
      </c>
      <c r="CV1" s="4">
        <v>8.3</v>
      </c>
      <c r="CW1" s="4">
        <v>8.5</v>
      </c>
      <c r="CX1" s="4">
        <v>8.8</v>
      </c>
      <c r="CY1" s="25" t="s">
        <v>214</v>
      </c>
      <c r="CZ1" s="4">
        <v>8.12</v>
      </c>
      <c r="DA1" s="4">
        <v>8.15</v>
      </c>
      <c r="DB1" s="4">
        <v>8.17</v>
      </c>
      <c r="DC1" s="4">
        <v>8.19</v>
      </c>
      <c r="DD1" s="4">
        <v>8.22</v>
      </c>
      <c r="DE1" s="4">
        <v>8.24</v>
      </c>
      <c r="DF1" t="s">
        <v>215</v>
      </c>
      <c r="DG1" t="s">
        <v>216</v>
      </c>
      <c r="DH1" t="s">
        <v>217</v>
      </c>
      <c r="DI1" t="s">
        <v>218</v>
      </c>
      <c r="DJ1" t="s">
        <v>219</v>
      </c>
      <c r="DK1" t="s">
        <v>220</v>
      </c>
      <c r="DL1" t="s">
        <v>221</v>
      </c>
      <c r="DM1" t="s">
        <v>222</v>
      </c>
      <c r="DN1" t="s">
        <v>223</v>
      </c>
      <c r="DO1" t="s">
        <v>224</v>
      </c>
      <c r="DP1" t="s">
        <v>225</v>
      </c>
      <c r="DQ1" t="s">
        <v>226</v>
      </c>
      <c r="DR1" t="s">
        <v>227</v>
      </c>
      <c r="DS1" t="s">
        <v>228</v>
      </c>
      <c r="DT1" t="s">
        <v>229</v>
      </c>
      <c r="DU1" s="4">
        <v>9.29</v>
      </c>
      <c r="DV1" s="4">
        <v>10.2</v>
      </c>
      <c r="DW1" s="4">
        <v>10.5</v>
      </c>
      <c r="DX1" s="4">
        <v>10.7</v>
      </c>
      <c r="DY1" s="4">
        <v>10.9</v>
      </c>
      <c r="DZ1" s="4">
        <v>10.11</v>
      </c>
      <c r="EA1" s="4">
        <v>10.15</v>
      </c>
      <c r="EB1" s="4">
        <v>10.17</v>
      </c>
      <c r="EC1" s="4">
        <v>10.19</v>
      </c>
      <c r="ED1" s="4">
        <v>10.21</v>
      </c>
      <c r="EE1" s="4">
        <v>10.23</v>
      </c>
      <c r="EF1" s="4">
        <v>10.26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</row>
    <row r="2" ht="14.25" spans="1:130">
      <c r="A2" s="1">
        <v>-4.28</v>
      </c>
      <c r="B2" s="1">
        <v>-0.346</v>
      </c>
      <c r="C2" s="1">
        <v>1.156</v>
      </c>
      <c r="D2" s="1">
        <v>0.326</v>
      </c>
      <c r="H2" s="1">
        <v>1.1</v>
      </c>
      <c r="I2" s="1">
        <v>-4.302</v>
      </c>
      <c r="J2" s="1">
        <v>-0.357</v>
      </c>
      <c r="K2" s="1">
        <v>1.178</v>
      </c>
      <c r="L2" s="1">
        <v>0.337</v>
      </c>
      <c r="M2"/>
      <c r="N2"/>
      <c r="O2" t="s">
        <v>101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ht="14.25" spans="1:130">
      <c r="A3" s="1">
        <v>-4.273</v>
      </c>
      <c r="B3" s="1">
        <v>-0.338</v>
      </c>
      <c r="C3" s="1">
        <v>1.152</v>
      </c>
      <c r="D3" s="1">
        <v>0.322</v>
      </c>
      <c r="H3" s="1">
        <v>1.4</v>
      </c>
      <c r="I3" s="1">
        <v>-4.28</v>
      </c>
      <c r="J3" s="1">
        <v>-0.346</v>
      </c>
      <c r="K3" s="1">
        <v>1.156</v>
      </c>
      <c r="L3" s="1">
        <v>0.326</v>
      </c>
      <c r="M3"/>
      <c r="N3"/>
      <c r="O3" t="s">
        <v>102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</row>
    <row r="4" ht="14.25" spans="1:130">
      <c r="A4" s="1">
        <v>-4.295</v>
      </c>
      <c r="B4" s="1">
        <v>-0.357</v>
      </c>
      <c r="C4" s="1">
        <v>1.17</v>
      </c>
      <c r="D4" s="1">
        <v>0.333</v>
      </c>
      <c r="H4" s="1">
        <v>1.6</v>
      </c>
      <c r="I4" s="1">
        <v>-4.273</v>
      </c>
      <c r="J4" s="1">
        <v>-0.338</v>
      </c>
      <c r="K4" s="1">
        <v>1.152</v>
      </c>
      <c r="L4" s="1">
        <v>0.322</v>
      </c>
      <c r="M4"/>
      <c r="N4"/>
      <c r="O4" t="s">
        <v>145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</row>
    <row r="5" spans="1:15">
      <c r="A5" s="1">
        <v>-4.317</v>
      </c>
      <c r="B5" s="1">
        <v>-0.327</v>
      </c>
      <c r="C5" s="1">
        <v>1.17</v>
      </c>
      <c r="D5" s="1">
        <v>0.315</v>
      </c>
      <c r="H5" s="1">
        <v>1.9</v>
      </c>
      <c r="I5" s="1">
        <v>-4.295</v>
      </c>
      <c r="J5" s="1">
        <v>-0.357</v>
      </c>
      <c r="K5" s="1">
        <v>1.17</v>
      </c>
      <c r="L5" s="1">
        <v>0.333</v>
      </c>
      <c r="O5" t="s">
        <v>146</v>
      </c>
    </row>
    <row r="6" spans="1:15">
      <c r="A6" s="1">
        <v>-4.273</v>
      </c>
      <c r="B6" s="1">
        <v>-0.335</v>
      </c>
      <c r="C6" s="1">
        <v>1.159</v>
      </c>
      <c r="D6" s="1">
        <v>0.351</v>
      </c>
      <c r="H6" s="1">
        <v>1.12</v>
      </c>
      <c r="I6" s="1">
        <v>-4.317</v>
      </c>
      <c r="J6" s="1">
        <v>-0.327</v>
      </c>
      <c r="K6" s="1">
        <v>1.17</v>
      </c>
      <c r="L6" s="1">
        <v>0.315</v>
      </c>
      <c r="O6" t="s">
        <v>106</v>
      </c>
    </row>
    <row r="7" spans="1:15">
      <c r="A7" s="1">
        <v>-4.313</v>
      </c>
      <c r="B7" s="1">
        <v>-0.305</v>
      </c>
      <c r="C7" s="1">
        <v>1.17</v>
      </c>
      <c r="D7" s="1">
        <v>0.34</v>
      </c>
      <c r="H7" s="1">
        <v>1.15</v>
      </c>
      <c r="I7" s="1">
        <v>-4.273</v>
      </c>
      <c r="J7" s="1">
        <v>-0.335</v>
      </c>
      <c r="K7" s="1">
        <v>1.159</v>
      </c>
      <c r="L7" s="1">
        <v>0.351</v>
      </c>
      <c r="O7" t="s">
        <v>147</v>
      </c>
    </row>
    <row r="8" spans="1:15">
      <c r="A8" s="1">
        <v>-4.35</v>
      </c>
      <c r="B8" s="1">
        <v>-0.338</v>
      </c>
      <c r="C8" s="1">
        <v>1.178</v>
      </c>
      <c r="D8" s="1">
        <v>0.351</v>
      </c>
      <c r="H8" s="1">
        <v>1.17</v>
      </c>
      <c r="I8" s="1">
        <v>-4.313</v>
      </c>
      <c r="J8" s="1">
        <v>-0.305</v>
      </c>
      <c r="K8" s="1">
        <v>1.17</v>
      </c>
      <c r="L8" s="1">
        <v>0.34</v>
      </c>
      <c r="O8" t="s">
        <v>148</v>
      </c>
    </row>
    <row r="9" spans="1:15">
      <c r="A9" s="1">
        <v>-4.328</v>
      </c>
      <c r="B9" s="1">
        <v>-0.342</v>
      </c>
      <c r="C9" s="1">
        <v>1.181</v>
      </c>
      <c r="D9" s="1">
        <v>0.351</v>
      </c>
      <c r="H9" s="1">
        <v>1.19</v>
      </c>
      <c r="I9" s="1">
        <v>-4.35</v>
      </c>
      <c r="J9" s="1">
        <v>-0.338</v>
      </c>
      <c r="K9" s="1">
        <v>1.178</v>
      </c>
      <c r="L9" s="1">
        <v>0.351</v>
      </c>
      <c r="O9" t="s">
        <v>109</v>
      </c>
    </row>
    <row r="10" spans="1:15">
      <c r="A10" s="1">
        <v>-4.31</v>
      </c>
      <c r="B10" s="1">
        <v>-0.346</v>
      </c>
      <c r="C10" s="1">
        <v>1.185</v>
      </c>
      <c r="D10" s="1">
        <v>0.348</v>
      </c>
      <c r="H10" s="1">
        <v>1.22</v>
      </c>
      <c r="I10" s="1">
        <v>-4.328</v>
      </c>
      <c r="J10" s="1">
        <v>-0.342</v>
      </c>
      <c r="K10" s="1">
        <v>1.181</v>
      </c>
      <c r="L10" s="1">
        <v>0.351</v>
      </c>
      <c r="O10" t="s">
        <v>149</v>
      </c>
    </row>
    <row r="11" spans="1:15">
      <c r="A11" s="1">
        <v>-4.328</v>
      </c>
      <c r="B11" s="1">
        <v>-0.342</v>
      </c>
      <c r="C11" s="1">
        <v>1.159</v>
      </c>
      <c r="D11" s="1">
        <v>0.351</v>
      </c>
      <c r="H11" s="1">
        <v>1.24</v>
      </c>
      <c r="I11" s="1">
        <v>-4.31</v>
      </c>
      <c r="J11" s="1">
        <v>-0.346</v>
      </c>
      <c r="K11" s="1">
        <v>1.185</v>
      </c>
      <c r="L11" s="1">
        <v>0.348</v>
      </c>
      <c r="O11" t="s">
        <v>150</v>
      </c>
    </row>
    <row r="12" spans="1:15">
      <c r="A12" s="1">
        <v>-4.328</v>
      </c>
      <c r="B12" s="1">
        <v>-0.342</v>
      </c>
      <c r="C12" s="1">
        <v>1.167</v>
      </c>
      <c r="D12" s="1">
        <v>0.34</v>
      </c>
      <c r="H12" s="1">
        <v>1.26</v>
      </c>
      <c r="I12" s="1">
        <v>-4.328</v>
      </c>
      <c r="J12" s="1">
        <v>-0.342</v>
      </c>
      <c r="K12" s="1">
        <v>1.159</v>
      </c>
      <c r="L12" s="1">
        <v>0.351</v>
      </c>
      <c r="O12" t="s">
        <v>151</v>
      </c>
    </row>
    <row r="13" spans="1:15">
      <c r="A13" s="1">
        <v>-4.302</v>
      </c>
      <c r="B13" s="1">
        <v>-0.346</v>
      </c>
      <c r="C13" s="1">
        <v>1.17</v>
      </c>
      <c r="D13" s="1">
        <v>0.351</v>
      </c>
      <c r="H13" s="1">
        <v>1.28</v>
      </c>
      <c r="I13" s="1">
        <v>-4.328</v>
      </c>
      <c r="J13" s="1">
        <v>-0.342</v>
      </c>
      <c r="K13" s="1">
        <v>1.167</v>
      </c>
      <c r="L13" s="1">
        <v>0.34</v>
      </c>
      <c r="O13" t="s">
        <v>152</v>
      </c>
    </row>
    <row r="14" spans="1:15">
      <c r="A14" s="1">
        <v>-4.302</v>
      </c>
      <c r="B14" s="1">
        <v>-0.346</v>
      </c>
      <c r="C14" s="1">
        <v>1.17</v>
      </c>
      <c r="D14" s="1">
        <v>0.351</v>
      </c>
      <c r="H14" s="1">
        <v>1.3</v>
      </c>
      <c r="I14" s="1">
        <v>-4.302</v>
      </c>
      <c r="J14" s="1">
        <v>-0.346</v>
      </c>
      <c r="K14" s="1">
        <v>1.17</v>
      </c>
      <c r="L14" s="1">
        <v>0.351</v>
      </c>
      <c r="O14" t="s">
        <v>113</v>
      </c>
    </row>
    <row r="15" spans="1:15">
      <c r="A15" s="1">
        <v>-4.339</v>
      </c>
      <c r="B15" s="1">
        <v>-0.342</v>
      </c>
      <c r="C15" s="1">
        <v>1.178</v>
      </c>
      <c r="D15" s="1">
        <v>0.33</v>
      </c>
      <c r="H15" s="1">
        <v>2.1</v>
      </c>
      <c r="I15" s="1">
        <v>-4.302</v>
      </c>
      <c r="J15" s="1">
        <v>-0.346</v>
      </c>
      <c r="K15" s="1">
        <v>1.17</v>
      </c>
      <c r="L15" s="1">
        <v>0.351</v>
      </c>
      <c r="O15" t="s">
        <v>153</v>
      </c>
    </row>
    <row r="16" spans="1:15">
      <c r="A16" s="1">
        <v>-4.306</v>
      </c>
      <c r="B16" s="1">
        <v>-0.342</v>
      </c>
      <c r="C16" s="1">
        <v>1.2</v>
      </c>
      <c r="D16" s="1">
        <v>0.344</v>
      </c>
      <c r="H16" s="1">
        <v>2.4</v>
      </c>
      <c r="I16" s="1">
        <v>-4.339</v>
      </c>
      <c r="J16" s="1">
        <v>-0.342</v>
      </c>
      <c r="K16" s="1">
        <v>1.178</v>
      </c>
      <c r="L16" s="1">
        <v>0.33</v>
      </c>
      <c r="O16" t="s">
        <v>154</v>
      </c>
    </row>
    <row r="17" spans="1:15">
      <c r="A17" s="1">
        <v>-4.321</v>
      </c>
      <c r="B17" s="1">
        <v>-0.346</v>
      </c>
      <c r="C17" s="1">
        <v>1.196</v>
      </c>
      <c r="D17" s="1">
        <v>0.348</v>
      </c>
      <c r="H17" s="1">
        <v>2.6</v>
      </c>
      <c r="I17" s="1">
        <v>-4.306</v>
      </c>
      <c r="J17" s="1">
        <v>-0.342</v>
      </c>
      <c r="K17" s="1">
        <v>1.2</v>
      </c>
      <c r="L17" s="1">
        <v>0.344</v>
      </c>
      <c r="O17" t="s">
        <v>4</v>
      </c>
    </row>
    <row r="18" spans="1:15">
      <c r="A18" s="1">
        <v>-4.302</v>
      </c>
      <c r="B18" s="1">
        <v>-0.346</v>
      </c>
      <c r="C18" s="1">
        <v>1.196</v>
      </c>
      <c r="D18" s="1">
        <v>0.351</v>
      </c>
      <c r="H18" s="1">
        <v>2.26</v>
      </c>
      <c r="I18" s="1">
        <v>-4.321</v>
      </c>
      <c r="J18" s="1">
        <v>-0.346</v>
      </c>
      <c r="K18" s="1">
        <v>1.196</v>
      </c>
      <c r="L18" s="1">
        <v>0.348</v>
      </c>
      <c r="O18" t="s">
        <v>155</v>
      </c>
    </row>
    <row r="19" spans="1:15">
      <c r="A19" s="1">
        <v>-4.347</v>
      </c>
      <c r="B19" s="1">
        <v>-0.349</v>
      </c>
      <c r="C19" s="1">
        <v>1.181</v>
      </c>
      <c r="D19" s="1">
        <v>0.348</v>
      </c>
      <c r="H19" s="1">
        <v>2.28</v>
      </c>
      <c r="I19" s="1">
        <v>-4.302</v>
      </c>
      <c r="J19" s="1">
        <v>-0.346</v>
      </c>
      <c r="K19" s="1">
        <v>1.196</v>
      </c>
      <c r="L19" s="1">
        <v>0.351</v>
      </c>
      <c r="O19" t="s">
        <v>156</v>
      </c>
    </row>
    <row r="20" spans="1:15">
      <c r="A20" s="1">
        <v>-4.321</v>
      </c>
      <c r="B20" s="1">
        <v>-0.357</v>
      </c>
      <c r="C20" s="1">
        <v>1.178</v>
      </c>
      <c r="D20" s="1">
        <v>0.34</v>
      </c>
      <c r="H20" s="1">
        <v>3.2</v>
      </c>
      <c r="I20" s="1">
        <v>-4.347</v>
      </c>
      <c r="J20" s="1">
        <v>-0.349</v>
      </c>
      <c r="K20" s="1">
        <v>1.181</v>
      </c>
      <c r="L20" s="1">
        <v>0.348</v>
      </c>
      <c r="O20" t="s">
        <v>7</v>
      </c>
    </row>
    <row r="21" spans="1:15">
      <c r="A21" s="1">
        <v>-4.317</v>
      </c>
      <c r="B21" s="1">
        <v>-0.342</v>
      </c>
      <c r="C21" s="1">
        <v>1.17</v>
      </c>
      <c r="D21" s="1">
        <v>0.351</v>
      </c>
      <c r="H21" s="1">
        <v>3.5</v>
      </c>
      <c r="I21" s="1">
        <v>-4.321</v>
      </c>
      <c r="J21" s="1">
        <v>-0.357</v>
      </c>
      <c r="K21" s="1">
        <v>1.178</v>
      </c>
      <c r="L21" s="1">
        <v>0.34</v>
      </c>
      <c r="O21" t="s">
        <v>157</v>
      </c>
    </row>
    <row r="22" spans="1:15">
      <c r="A22" s="1">
        <v>-4.313</v>
      </c>
      <c r="B22" s="1">
        <v>-0.357</v>
      </c>
      <c r="C22" s="1">
        <v>1.156</v>
      </c>
      <c r="D22" s="1">
        <v>0.348</v>
      </c>
      <c r="H22" s="1">
        <v>3.7</v>
      </c>
      <c r="I22" s="1">
        <v>-4.317</v>
      </c>
      <c r="J22" s="1">
        <v>-0.342</v>
      </c>
      <c r="K22" s="1">
        <v>1.17</v>
      </c>
      <c r="L22" s="1">
        <v>0.351</v>
      </c>
      <c r="O22" t="s">
        <v>158</v>
      </c>
    </row>
    <row r="23" spans="1:15">
      <c r="A23" s="1">
        <v>-4.306</v>
      </c>
      <c r="B23" s="1">
        <v>-0.335</v>
      </c>
      <c r="C23" s="1">
        <v>1.141</v>
      </c>
      <c r="D23" s="1">
        <v>0.351</v>
      </c>
      <c r="H23" s="1">
        <v>3.9</v>
      </c>
      <c r="I23" s="1">
        <v>-4.313</v>
      </c>
      <c r="J23" s="1">
        <v>-0.357</v>
      </c>
      <c r="K23" s="1">
        <v>1.156</v>
      </c>
      <c r="L23" s="1">
        <v>0.348</v>
      </c>
      <c r="O23" t="s">
        <v>10</v>
      </c>
    </row>
    <row r="24" spans="1:15">
      <c r="A24" s="1">
        <v>-4.313</v>
      </c>
      <c r="B24" s="1">
        <v>-0.349</v>
      </c>
      <c r="C24" s="1">
        <v>1.145</v>
      </c>
      <c r="D24" s="1">
        <v>0.337</v>
      </c>
      <c r="H24" s="1">
        <v>3.12</v>
      </c>
      <c r="I24" s="1">
        <v>-4.306</v>
      </c>
      <c r="J24" s="1">
        <v>-0.335</v>
      </c>
      <c r="K24" s="1">
        <v>1.141</v>
      </c>
      <c r="L24" s="1">
        <v>0.351</v>
      </c>
      <c r="O24" t="s">
        <v>159</v>
      </c>
    </row>
    <row r="25" spans="1:15">
      <c r="A25" s="1">
        <v>-4.317</v>
      </c>
      <c r="B25" s="1">
        <v>-0.357</v>
      </c>
      <c r="C25" s="1">
        <v>1.17</v>
      </c>
      <c r="D25" s="1">
        <v>0.351</v>
      </c>
      <c r="H25" s="1">
        <v>3.14</v>
      </c>
      <c r="I25" s="1">
        <v>-4.313</v>
      </c>
      <c r="J25" s="1">
        <v>-0.349</v>
      </c>
      <c r="K25" s="1">
        <v>1.145</v>
      </c>
      <c r="L25" s="1">
        <v>0.337</v>
      </c>
      <c r="O25" t="s">
        <v>160</v>
      </c>
    </row>
    <row r="26" spans="1:15">
      <c r="A26" s="1">
        <v>-4.321</v>
      </c>
      <c r="B26" s="1">
        <v>-0.349</v>
      </c>
      <c r="C26" s="1">
        <v>1.174</v>
      </c>
      <c r="D26" s="1">
        <v>0.344</v>
      </c>
      <c r="H26" s="1">
        <v>3.16</v>
      </c>
      <c r="I26" s="1">
        <v>-4.317</v>
      </c>
      <c r="J26" s="1">
        <v>-0.357</v>
      </c>
      <c r="K26" s="1">
        <v>1.17</v>
      </c>
      <c r="L26" s="1">
        <v>0.351</v>
      </c>
      <c r="O26" t="s">
        <v>13</v>
      </c>
    </row>
    <row r="27" spans="1:15">
      <c r="A27" s="1">
        <v>-4.347</v>
      </c>
      <c r="B27" s="1">
        <v>-0.346</v>
      </c>
      <c r="C27" s="1">
        <v>1.178</v>
      </c>
      <c r="D27" s="1">
        <v>0.348</v>
      </c>
      <c r="H27" s="1">
        <v>3.19</v>
      </c>
      <c r="I27" s="1">
        <v>-4.321</v>
      </c>
      <c r="J27" s="1">
        <v>-0.349</v>
      </c>
      <c r="K27" s="1">
        <v>1.174</v>
      </c>
      <c r="L27" s="1">
        <v>0.344</v>
      </c>
      <c r="O27" t="s">
        <v>161</v>
      </c>
    </row>
    <row r="28" spans="1:15">
      <c r="A28" s="1">
        <v>-4.317</v>
      </c>
      <c r="B28" s="1">
        <v>-0.346</v>
      </c>
      <c r="C28" s="1">
        <v>1.218</v>
      </c>
      <c r="D28" s="1">
        <v>0.351</v>
      </c>
      <c r="H28" s="1">
        <v>3.21</v>
      </c>
      <c r="I28" s="1">
        <v>-4.347</v>
      </c>
      <c r="J28" s="1">
        <v>-0.346</v>
      </c>
      <c r="K28" s="1">
        <v>1.178</v>
      </c>
      <c r="L28" s="1">
        <v>0.348</v>
      </c>
      <c r="O28" t="s">
        <v>162</v>
      </c>
    </row>
    <row r="29" spans="1:15">
      <c r="A29" s="1">
        <v>-4.325</v>
      </c>
      <c r="B29" s="1">
        <v>-0.357</v>
      </c>
      <c r="C29" s="1">
        <v>1.214</v>
      </c>
      <c r="D29" s="1">
        <v>0.337</v>
      </c>
      <c r="H29" s="1">
        <v>3.23</v>
      </c>
      <c r="I29" s="1">
        <v>-4.317</v>
      </c>
      <c r="J29" s="1">
        <v>-0.346</v>
      </c>
      <c r="K29" s="1">
        <v>1.218</v>
      </c>
      <c r="L29" s="1">
        <v>0.351</v>
      </c>
      <c r="O29" t="s">
        <v>163</v>
      </c>
    </row>
    <row r="30" spans="1:15">
      <c r="A30" s="1">
        <v>-4.313</v>
      </c>
      <c r="B30" s="1">
        <v>-0.349</v>
      </c>
      <c r="C30" s="1">
        <v>1.207</v>
      </c>
      <c r="D30" s="1">
        <v>0.348</v>
      </c>
      <c r="H30" s="1">
        <v>3.25</v>
      </c>
      <c r="I30" s="1">
        <v>-4.325</v>
      </c>
      <c r="J30" s="1">
        <v>-0.357</v>
      </c>
      <c r="K30" s="1">
        <v>1.214</v>
      </c>
      <c r="L30" s="1">
        <v>0.337</v>
      </c>
      <c r="O30" t="s">
        <v>164</v>
      </c>
    </row>
    <row r="31" spans="1:15">
      <c r="A31" s="1">
        <v>-4.339</v>
      </c>
      <c r="B31" s="1">
        <v>-0.36</v>
      </c>
      <c r="C31" s="1">
        <v>1.17</v>
      </c>
      <c r="D31" s="1">
        <v>0.351</v>
      </c>
      <c r="H31" s="1">
        <v>3.27</v>
      </c>
      <c r="I31" s="1">
        <v>-4.313</v>
      </c>
      <c r="J31" s="1">
        <v>-0.349</v>
      </c>
      <c r="K31" s="1">
        <v>1.207</v>
      </c>
      <c r="L31" s="1">
        <v>0.348</v>
      </c>
      <c r="O31" t="s">
        <v>165</v>
      </c>
    </row>
    <row r="32" spans="1:15">
      <c r="A32" s="1">
        <v>-4.336</v>
      </c>
      <c r="B32" s="1">
        <v>-0.357</v>
      </c>
      <c r="C32" s="1">
        <v>1.156</v>
      </c>
      <c r="D32" s="1">
        <v>0.333</v>
      </c>
      <c r="H32" s="1">
        <v>3.3</v>
      </c>
      <c r="I32" s="1">
        <v>-4.339</v>
      </c>
      <c r="J32" s="1">
        <v>-0.36</v>
      </c>
      <c r="K32" s="1">
        <v>1.17</v>
      </c>
      <c r="L32" s="1">
        <v>0.351</v>
      </c>
      <c r="O32" t="s">
        <v>166</v>
      </c>
    </row>
    <row r="33" spans="1:15">
      <c r="A33" s="1">
        <v>-4.317</v>
      </c>
      <c r="B33" s="1">
        <v>-0.342</v>
      </c>
      <c r="C33" s="1">
        <v>1.192</v>
      </c>
      <c r="D33" s="1">
        <v>0.351</v>
      </c>
      <c r="H33" s="1">
        <v>4.1</v>
      </c>
      <c r="I33" s="1">
        <v>-4.336</v>
      </c>
      <c r="J33" s="1">
        <v>-0.357</v>
      </c>
      <c r="K33" s="1">
        <v>1.156</v>
      </c>
      <c r="L33" s="1">
        <v>0.333</v>
      </c>
      <c r="O33" t="s">
        <v>167</v>
      </c>
    </row>
    <row r="34" spans="1:15">
      <c r="A34" s="1">
        <v>-4.317</v>
      </c>
      <c r="B34" s="1">
        <v>-0.346</v>
      </c>
      <c r="C34" s="1">
        <v>1.192</v>
      </c>
      <c r="D34" s="1">
        <v>0.344</v>
      </c>
      <c r="H34" s="1">
        <v>4.3</v>
      </c>
      <c r="I34" s="1">
        <v>-4.317</v>
      </c>
      <c r="J34" s="1">
        <v>-0.342</v>
      </c>
      <c r="K34" s="1">
        <v>1.192</v>
      </c>
      <c r="L34" s="1">
        <v>0.351</v>
      </c>
      <c r="O34" t="s">
        <v>20</v>
      </c>
    </row>
    <row r="35" spans="1:15">
      <c r="A35" s="1">
        <v>-4.336</v>
      </c>
      <c r="B35" s="1">
        <v>-0.36</v>
      </c>
      <c r="C35" s="1">
        <v>1.178</v>
      </c>
      <c r="D35" s="1">
        <v>0.351</v>
      </c>
      <c r="H35" s="1">
        <v>4.5</v>
      </c>
      <c r="I35" s="1">
        <v>-4.317</v>
      </c>
      <c r="J35" s="1">
        <v>-0.346</v>
      </c>
      <c r="K35" s="1">
        <v>1.192</v>
      </c>
      <c r="L35" s="1">
        <v>0.344</v>
      </c>
      <c r="O35" t="s">
        <v>168</v>
      </c>
    </row>
    <row r="36" spans="1:15">
      <c r="A36" s="1">
        <v>-4.321</v>
      </c>
      <c r="B36" s="1">
        <v>-0.349</v>
      </c>
      <c r="C36" s="1">
        <v>1.17</v>
      </c>
      <c r="D36" s="1">
        <v>0.337</v>
      </c>
      <c r="H36" s="1">
        <v>4.8</v>
      </c>
      <c r="I36" s="1">
        <v>-4.336</v>
      </c>
      <c r="J36" s="1">
        <v>-0.36</v>
      </c>
      <c r="K36" s="1">
        <v>1.178</v>
      </c>
      <c r="L36" s="1">
        <v>0.351</v>
      </c>
      <c r="O36" t="s">
        <v>169</v>
      </c>
    </row>
    <row r="37" spans="1:15">
      <c r="A37" s="1">
        <v>-4.347</v>
      </c>
      <c r="B37" s="1">
        <v>-0.357</v>
      </c>
      <c r="C37" s="1">
        <v>1.174</v>
      </c>
      <c r="D37" s="1">
        <v>0.351</v>
      </c>
      <c r="H37" s="1">
        <v>4.1</v>
      </c>
      <c r="I37" s="1">
        <v>-4.321</v>
      </c>
      <c r="J37" s="1">
        <v>-0.349</v>
      </c>
      <c r="K37" s="1">
        <v>1.17</v>
      </c>
      <c r="L37" s="1">
        <v>0.337</v>
      </c>
      <c r="O37" t="s">
        <v>170</v>
      </c>
    </row>
    <row r="38" spans="1:15">
      <c r="A38" s="1">
        <v>-4.339</v>
      </c>
      <c r="B38" s="1">
        <v>-0.353</v>
      </c>
      <c r="C38" s="1">
        <v>1.178</v>
      </c>
      <c r="D38" s="1">
        <v>0.34</v>
      </c>
      <c r="H38" s="1">
        <v>4.13</v>
      </c>
      <c r="I38" s="1">
        <v>-4.347</v>
      </c>
      <c r="J38" s="1">
        <v>-0.357</v>
      </c>
      <c r="K38" s="1">
        <v>1.174</v>
      </c>
      <c r="L38" s="1">
        <v>0.351</v>
      </c>
      <c r="O38" t="s">
        <v>171</v>
      </c>
    </row>
    <row r="39" spans="1:15">
      <c r="A39" s="1">
        <v>-4.332</v>
      </c>
      <c r="B39" s="1">
        <v>-0.349</v>
      </c>
      <c r="C39" s="1">
        <v>1.181</v>
      </c>
      <c r="D39" s="1">
        <v>0.348</v>
      </c>
      <c r="H39" s="1">
        <v>4.15</v>
      </c>
      <c r="I39" s="1">
        <v>-4.339</v>
      </c>
      <c r="J39" s="1">
        <v>-0.353</v>
      </c>
      <c r="K39" s="1">
        <v>1.178</v>
      </c>
      <c r="L39" s="1">
        <v>0.34</v>
      </c>
      <c r="O39" t="s">
        <v>172</v>
      </c>
    </row>
    <row r="40" spans="1:15">
      <c r="A40" s="1">
        <v>-4.317</v>
      </c>
      <c r="B40" s="1">
        <v>-0.335</v>
      </c>
      <c r="C40" s="1">
        <v>1.17</v>
      </c>
      <c r="D40" s="1">
        <v>0.33</v>
      </c>
      <c r="H40" s="1">
        <v>4.17</v>
      </c>
      <c r="I40" s="1">
        <v>-4.332</v>
      </c>
      <c r="J40" s="1">
        <v>-0.349</v>
      </c>
      <c r="K40" s="1">
        <v>1.181</v>
      </c>
      <c r="L40" s="1">
        <v>0.348</v>
      </c>
      <c r="O40" t="s">
        <v>26</v>
      </c>
    </row>
    <row r="41" spans="1:15">
      <c r="A41" s="1">
        <v>-4.28</v>
      </c>
      <c r="B41" s="1">
        <v>-0.32</v>
      </c>
      <c r="C41" s="1">
        <v>1.156</v>
      </c>
      <c r="D41" s="1">
        <v>0.337</v>
      </c>
      <c r="H41" s="1">
        <v>4.19</v>
      </c>
      <c r="I41" s="1">
        <v>-4.317</v>
      </c>
      <c r="J41" s="1">
        <v>-0.335</v>
      </c>
      <c r="K41" s="1">
        <v>1.17</v>
      </c>
      <c r="L41" s="1">
        <v>0.33</v>
      </c>
      <c r="O41" t="s">
        <v>27</v>
      </c>
    </row>
    <row r="42" spans="1:15">
      <c r="A42" s="1">
        <v>-4.313</v>
      </c>
      <c r="B42" s="1">
        <v>-0.342</v>
      </c>
      <c r="C42" s="1">
        <v>1.167</v>
      </c>
      <c r="D42" s="1">
        <v>0.33</v>
      </c>
      <c r="H42" s="1">
        <v>4.21</v>
      </c>
      <c r="I42" s="1">
        <v>-4.28</v>
      </c>
      <c r="J42" s="1">
        <v>-0.32</v>
      </c>
      <c r="K42" s="1">
        <v>1.156</v>
      </c>
      <c r="L42" s="1">
        <v>0.337</v>
      </c>
      <c r="O42" t="s">
        <v>173</v>
      </c>
    </row>
    <row r="43" spans="1:15">
      <c r="A43" s="1">
        <v>-4.317</v>
      </c>
      <c r="B43" s="1">
        <v>-0.346</v>
      </c>
      <c r="C43" s="1">
        <v>1.17</v>
      </c>
      <c r="D43" s="1">
        <v>0.34</v>
      </c>
      <c r="H43" s="1">
        <v>4.24</v>
      </c>
      <c r="I43" s="1">
        <v>-4.313</v>
      </c>
      <c r="J43" s="1">
        <v>-0.342</v>
      </c>
      <c r="K43" s="1">
        <v>1.167</v>
      </c>
      <c r="L43" s="1">
        <v>0.33</v>
      </c>
      <c r="O43" t="s">
        <v>174</v>
      </c>
    </row>
    <row r="44" spans="1:15">
      <c r="A44" s="1">
        <v>-4.343</v>
      </c>
      <c r="B44" s="1">
        <v>-0.349</v>
      </c>
      <c r="C44" s="1">
        <v>1.178</v>
      </c>
      <c r="D44" s="1">
        <v>0.34</v>
      </c>
      <c r="H44" s="1">
        <v>4.27</v>
      </c>
      <c r="I44" s="1">
        <v>-4.317</v>
      </c>
      <c r="J44" s="1">
        <v>-0.346</v>
      </c>
      <c r="K44" s="1">
        <v>1.17</v>
      </c>
      <c r="L44" s="1">
        <v>0.34</v>
      </c>
      <c r="O44" t="s">
        <v>175</v>
      </c>
    </row>
    <row r="45" spans="1:15">
      <c r="A45" s="1">
        <v>-4.336</v>
      </c>
      <c r="B45" s="1">
        <v>-0.357</v>
      </c>
      <c r="C45" s="1">
        <v>1.181</v>
      </c>
      <c r="D45" s="1">
        <v>0.33</v>
      </c>
      <c r="H45" s="1">
        <v>5.1</v>
      </c>
      <c r="I45" s="1">
        <v>-4.343</v>
      </c>
      <c r="J45" s="1">
        <v>-0.349</v>
      </c>
      <c r="K45" s="1">
        <v>1.178</v>
      </c>
      <c r="L45" s="1">
        <v>0.34</v>
      </c>
      <c r="O45" t="s">
        <v>176</v>
      </c>
    </row>
    <row r="46" spans="1:15">
      <c r="A46" s="1">
        <v>-4.328</v>
      </c>
      <c r="B46" s="1">
        <v>-0.357</v>
      </c>
      <c r="C46" s="1">
        <v>1.17</v>
      </c>
      <c r="D46" s="1">
        <v>0.337</v>
      </c>
      <c r="H46" s="1">
        <v>5.3</v>
      </c>
      <c r="I46" s="1">
        <v>-4.336</v>
      </c>
      <c r="J46" s="1">
        <v>-0.357</v>
      </c>
      <c r="K46" s="1">
        <v>1.181</v>
      </c>
      <c r="L46" s="1">
        <v>0.33</v>
      </c>
      <c r="O46" t="s">
        <v>177</v>
      </c>
    </row>
    <row r="47" spans="1:15">
      <c r="A47" s="1">
        <v>-4.343</v>
      </c>
      <c r="B47" s="1">
        <v>-0.349</v>
      </c>
      <c r="C47" s="1">
        <v>1.255</v>
      </c>
      <c r="D47" s="1">
        <v>0.359</v>
      </c>
      <c r="H47" s="1">
        <v>5.5</v>
      </c>
      <c r="I47" s="1">
        <v>-4.328</v>
      </c>
      <c r="J47" s="1">
        <v>-0.357</v>
      </c>
      <c r="K47" s="1">
        <v>1.17</v>
      </c>
      <c r="L47" s="1">
        <v>0.337</v>
      </c>
      <c r="O47" t="s">
        <v>178</v>
      </c>
    </row>
    <row r="48" spans="1:15">
      <c r="A48" s="1">
        <v>-4.339</v>
      </c>
      <c r="B48" s="1">
        <v>-0.349</v>
      </c>
      <c r="C48" s="1">
        <v>1.258</v>
      </c>
      <c r="D48" s="1">
        <v>0.359</v>
      </c>
      <c r="H48" s="1">
        <v>5.7</v>
      </c>
      <c r="I48" s="1">
        <v>-4.343</v>
      </c>
      <c r="J48" s="1">
        <v>-0.349</v>
      </c>
      <c r="K48" s="1">
        <v>1.255</v>
      </c>
      <c r="L48" s="1">
        <v>0.359</v>
      </c>
      <c r="O48" t="s">
        <v>179</v>
      </c>
    </row>
    <row r="49" spans="1:15">
      <c r="A49" s="1">
        <v>-4.339</v>
      </c>
      <c r="B49" s="1">
        <v>-0.346</v>
      </c>
      <c r="C49" s="1">
        <v>1.258</v>
      </c>
      <c r="D49" s="1">
        <v>0.359</v>
      </c>
      <c r="H49" s="1">
        <v>5.9</v>
      </c>
      <c r="I49" s="1">
        <v>-4.339</v>
      </c>
      <c r="J49" s="1">
        <v>-0.349</v>
      </c>
      <c r="K49" s="1">
        <v>1.258</v>
      </c>
      <c r="L49" s="1">
        <v>0.359</v>
      </c>
      <c r="O49" t="s">
        <v>180</v>
      </c>
    </row>
    <row r="50" spans="1:15">
      <c r="A50" s="1">
        <v>-4.341</v>
      </c>
      <c r="B50" s="1">
        <v>-0.348</v>
      </c>
      <c r="C50" s="1">
        <v>1.257</v>
      </c>
      <c r="D50" s="1">
        <v>0.359</v>
      </c>
      <c r="H50" s="1">
        <v>5.11</v>
      </c>
      <c r="I50" s="1">
        <v>-4.339</v>
      </c>
      <c r="J50" s="1">
        <v>-0.346</v>
      </c>
      <c r="K50" s="1">
        <v>1.258</v>
      </c>
      <c r="L50" s="1">
        <v>0.359</v>
      </c>
      <c r="O50" t="s">
        <v>181</v>
      </c>
    </row>
    <row r="51" spans="1:15">
      <c r="A51" s="1">
        <v>-4.341</v>
      </c>
      <c r="B51" s="1">
        <v>-0.347</v>
      </c>
      <c r="C51" s="1">
        <v>1.256</v>
      </c>
      <c r="D51" s="1">
        <v>0.359</v>
      </c>
      <c r="H51" s="1">
        <v>5.13</v>
      </c>
      <c r="I51" s="1">
        <v>-4.341</v>
      </c>
      <c r="J51" s="1">
        <v>-0.348</v>
      </c>
      <c r="K51" s="1">
        <v>1.257</v>
      </c>
      <c r="L51" s="1">
        <v>0.359</v>
      </c>
      <c r="O51" t="s">
        <v>182</v>
      </c>
    </row>
    <row r="52" spans="1:15">
      <c r="A52" s="1">
        <v>-4.339</v>
      </c>
      <c r="B52" s="1">
        <v>-0.349</v>
      </c>
      <c r="C52" s="1">
        <v>1.252</v>
      </c>
      <c r="D52" s="1">
        <v>0.359</v>
      </c>
      <c r="H52" s="1">
        <v>5.15</v>
      </c>
      <c r="I52" s="1">
        <v>-4.341</v>
      </c>
      <c r="J52" s="1">
        <v>-0.347</v>
      </c>
      <c r="K52" s="1">
        <v>1.256</v>
      </c>
      <c r="L52" s="1">
        <v>0.359</v>
      </c>
      <c r="O52" t="s">
        <v>183</v>
      </c>
    </row>
    <row r="53" spans="1:15">
      <c r="A53" s="1">
        <v>-4.341</v>
      </c>
      <c r="B53" s="1">
        <v>-0.348</v>
      </c>
      <c r="C53" s="1">
        <v>1.257</v>
      </c>
      <c r="D53" s="1">
        <v>0.359</v>
      </c>
      <c r="H53" s="1">
        <v>5.17</v>
      </c>
      <c r="I53" s="1">
        <v>-4.339</v>
      </c>
      <c r="J53" s="1">
        <v>-0.349</v>
      </c>
      <c r="K53" s="1">
        <v>1.252</v>
      </c>
      <c r="L53" s="1">
        <v>0.359</v>
      </c>
      <c r="O53" t="s">
        <v>184</v>
      </c>
    </row>
    <row r="54" spans="1:15">
      <c r="A54" s="1">
        <v>-4.341</v>
      </c>
      <c r="B54" s="1">
        <v>-0.347</v>
      </c>
      <c r="C54" s="1">
        <v>1.256</v>
      </c>
      <c r="D54" s="1">
        <v>0.359</v>
      </c>
      <c r="H54" s="1">
        <v>5.19</v>
      </c>
      <c r="I54" s="1">
        <v>-4.341</v>
      </c>
      <c r="J54" s="1">
        <v>-0.348</v>
      </c>
      <c r="K54" s="1">
        <v>1.257</v>
      </c>
      <c r="L54" s="1">
        <v>0.359</v>
      </c>
      <c r="O54" t="s">
        <v>185</v>
      </c>
    </row>
    <row r="55" spans="1:15">
      <c r="A55" s="1">
        <v>-4.339</v>
      </c>
      <c r="B55" s="1">
        <v>-0.349</v>
      </c>
      <c r="C55" s="1">
        <v>1.252</v>
      </c>
      <c r="D55" s="1">
        <v>0.359</v>
      </c>
      <c r="H55" s="1">
        <v>5.21</v>
      </c>
      <c r="I55" s="1">
        <v>-4.341</v>
      </c>
      <c r="J55" s="1">
        <v>-0.347</v>
      </c>
      <c r="K55" s="1">
        <v>1.256</v>
      </c>
      <c r="L55" s="1">
        <v>0.359</v>
      </c>
      <c r="O55" t="s">
        <v>186</v>
      </c>
    </row>
    <row r="56" spans="1:15">
      <c r="A56" s="1">
        <v>-4.339</v>
      </c>
      <c r="B56" s="1">
        <v>-0.348</v>
      </c>
      <c r="C56" s="1">
        <v>1.255</v>
      </c>
      <c r="D56" s="1">
        <v>0.357</v>
      </c>
      <c r="H56" s="1">
        <v>5.24</v>
      </c>
      <c r="I56" s="1">
        <v>-4.339</v>
      </c>
      <c r="J56" s="1">
        <v>-0.349</v>
      </c>
      <c r="K56" s="1">
        <v>1.252</v>
      </c>
      <c r="L56" s="1">
        <v>0.359</v>
      </c>
      <c r="O56" t="s">
        <v>187</v>
      </c>
    </row>
    <row r="57" spans="1:15">
      <c r="A57" s="1">
        <v>-4.341</v>
      </c>
      <c r="B57" s="1">
        <v>-0.347</v>
      </c>
      <c r="C57" s="1">
        <v>1.256</v>
      </c>
      <c r="D57" s="1">
        <v>0.359</v>
      </c>
      <c r="H57" s="1">
        <v>5.26</v>
      </c>
      <c r="I57" s="1">
        <v>-4.339</v>
      </c>
      <c r="J57" s="1">
        <v>-0.348</v>
      </c>
      <c r="K57" s="1">
        <v>1.255</v>
      </c>
      <c r="L57" s="1">
        <v>0.357</v>
      </c>
      <c r="O57" t="s">
        <v>188</v>
      </c>
    </row>
    <row r="58" spans="1:15">
      <c r="A58" s="1">
        <v>-4.341</v>
      </c>
      <c r="B58" s="1">
        <v>-0.349</v>
      </c>
      <c r="C58" s="1">
        <v>1.258</v>
      </c>
      <c r="D58" s="1">
        <v>0.355</v>
      </c>
      <c r="H58" s="1">
        <v>5.28</v>
      </c>
      <c r="I58" s="1">
        <v>-4.341</v>
      </c>
      <c r="J58" s="1">
        <v>-0.347</v>
      </c>
      <c r="K58" s="1">
        <v>1.256</v>
      </c>
      <c r="L58" s="1">
        <v>0.359</v>
      </c>
      <c r="O58" t="s">
        <v>189</v>
      </c>
    </row>
    <row r="59" spans="1:15">
      <c r="A59" s="1">
        <v>-4.339</v>
      </c>
      <c r="B59" s="1">
        <v>-0.348</v>
      </c>
      <c r="C59" s="1">
        <v>1.255</v>
      </c>
      <c r="D59" s="1">
        <v>0.357</v>
      </c>
      <c r="H59" s="1">
        <v>5.3</v>
      </c>
      <c r="I59" s="1">
        <v>-4.341</v>
      </c>
      <c r="J59" s="1">
        <v>-0.349</v>
      </c>
      <c r="K59" s="1">
        <v>1.258</v>
      </c>
      <c r="L59" s="1">
        <v>0.355</v>
      </c>
      <c r="O59" t="s">
        <v>190</v>
      </c>
    </row>
    <row r="60" spans="1:15">
      <c r="A60" s="1">
        <v>-4.338</v>
      </c>
      <c r="B60" s="1">
        <v>-0.35</v>
      </c>
      <c r="C60" s="1">
        <v>1.254</v>
      </c>
      <c r="D60" s="1">
        <v>0.356</v>
      </c>
      <c r="H60" s="1">
        <v>6.02</v>
      </c>
      <c r="I60" s="1">
        <v>-4.339</v>
      </c>
      <c r="J60" s="1">
        <v>-0.348</v>
      </c>
      <c r="K60" s="1">
        <v>1.255</v>
      </c>
      <c r="L60" s="1">
        <v>0.357</v>
      </c>
      <c r="O60" t="s">
        <v>191</v>
      </c>
    </row>
    <row r="61" spans="1:15">
      <c r="A61" s="1">
        <v>-4.338</v>
      </c>
      <c r="B61" s="1">
        <v>-0.349</v>
      </c>
      <c r="C61" s="1">
        <v>1.253</v>
      </c>
      <c r="D61" s="1">
        <v>0.355</v>
      </c>
      <c r="H61" s="1">
        <v>6.04</v>
      </c>
      <c r="I61" s="1">
        <v>-4.338</v>
      </c>
      <c r="J61" s="1">
        <v>-0.35</v>
      </c>
      <c r="K61" s="1">
        <v>1.254</v>
      </c>
      <c r="L61" s="1">
        <v>0.356</v>
      </c>
      <c r="O61" t="s">
        <v>192</v>
      </c>
    </row>
    <row r="62" spans="1:15">
      <c r="A62" s="1">
        <v>-4.339</v>
      </c>
      <c r="B62" s="1">
        <v>-0.349</v>
      </c>
      <c r="C62" s="1">
        <v>1.252</v>
      </c>
      <c r="D62" s="1">
        <v>0.359</v>
      </c>
      <c r="H62" s="1">
        <v>6.07</v>
      </c>
      <c r="I62" s="1">
        <v>-4.338</v>
      </c>
      <c r="J62" s="1">
        <v>-0.349</v>
      </c>
      <c r="K62" s="1">
        <v>1.253</v>
      </c>
      <c r="L62" s="1">
        <v>0.355</v>
      </c>
      <c r="O62" t="s">
        <v>193</v>
      </c>
    </row>
    <row r="63" spans="1:15">
      <c r="A63" s="1">
        <v>-4.336</v>
      </c>
      <c r="B63" s="1">
        <v>-0.357</v>
      </c>
      <c r="C63" s="1">
        <v>1.181</v>
      </c>
      <c r="D63" s="1">
        <v>0.33</v>
      </c>
      <c r="H63" s="1">
        <v>6.1</v>
      </c>
      <c r="I63" s="1">
        <v>-4.339</v>
      </c>
      <c r="J63" s="1">
        <v>-0.349</v>
      </c>
      <c r="K63" s="1">
        <v>1.252</v>
      </c>
      <c r="L63" s="1">
        <v>0.359</v>
      </c>
      <c r="O63" t="s">
        <v>194</v>
      </c>
    </row>
    <row r="64" spans="1:15">
      <c r="A64" s="1">
        <v>-4.338</v>
      </c>
      <c r="B64" s="1">
        <v>-0.349</v>
      </c>
      <c r="C64" s="1">
        <v>1.253</v>
      </c>
      <c r="D64" s="1">
        <v>0.355</v>
      </c>
      <c r="H64" s="1">
        <v>6.12</v>
      </c>
      <c r="I64" s="1">
        <v>-4.336</v>
      </c>
      <c r="J64" s="1">
        <v>-0.357</v>
      </c>
      <c r="K64" s="1">
        <v>1.181</v>
      </c>
      <c r="L64" s="1">
        <v>0.33</v>
      </c>
      <c r="O64" t="s">
        <v>195</v>
      </c>
    </row>
    <row r="65" spans="1:15">
      <c r="A65" s="1">
        <v>-4.33</v>
      </c>
      <c r="B65" s="1">
        <v>-0.353</v>
      </c>
      <c r="C65" s="1">
        <v>1.17</v>
      </c>
      <c r="D65" s="1">
        <v>0.34</v>
      </c>
      <c r="H65" s="1">
        <v>6.14</v>
      </c>
      <c r="I65" s="1">
        <v>-4.338</v>
      </c>
      <c r="J65" s="1">
        <v>-0.349</v>
      </c>
      <c r="K65" s="1">
        <v>1.253</v>
      </c>
      <c r="L65" s="1">
        <v>0.355</v>
      </c>
      <c r="O65" t="s">
        <v>196</v>
      </c>
    </row>
    <row r="66" spans="1:15">
      <c r="A66" s="1">
        <v>-4.322</v>
      </c>
      <c r="B66" s="1">
        <v>-0.349</v>
      </c>
      <c r="C66" s="1">
        <v>1.181</v>
      </c>
      <c r="D66" s="1">
        <v>0.343</v>
      </c>
      <c r="H66" s="1">
        <v>6.16</v>
      </c>
      <c r="I66" s="1">
        <v>-4.33</v>
      </c>
      <c r="J66" s="1">
        <v>-0.353</v>
      </c>
      <c r="K66" s="1">
        <v>1.17</v>
      </c>
      <c r="L66" s="1">
        <v>0.34</v>
      </c>
      <c r="O66" t="s">
        <v>197</v>
      </c>
    </row>
    <row r="67" spans="1:15">
      <c r="A67" s="1">
        <v>-4.325</v>
      </c>
      <c r="B67" s="1">
        <v>-0.333</v>
      </c>
      <c r="C67" s="1">
        <v>1.176</v>
      </c>
      <c r="D67" s="1">
        <v>0.35</v>
      </c>
      <c r="H67" s="1">
        <v>6.19</v>
      </c>
      <c r="I67" s="1">
        <v>-4.322</v>
      </c>
      <c r="J67" s="1">
        <v>-0.349</v>
      </c>
      <c r="K67" s="1">
        <v>1.181</v>
      </c>
      <c r="L67" s="1">
        <v>0.343</v>
      </c>
      <c r="O67" t="s">
        <v>198</v>
      </c>
    </row>
    <row r="68" spans="1:15">
      <c r="A68" s="1">
        <v>-4.339</v>
      </c>
      <c r="B68" s="1">
        <v>-0.353</v>
      </c>
      <c r="C68" s="1">
        <v>1.178</v>
      </c>
      <c r="D68" s="1">
        <v>0.34</v>
      </c>
      <c r="H68" s="1">
        <v>6.22</v>
      </c>
      <c r="I68" s="1">
        <v>-4.325</v>
      </c>
      <c r="J68" s="1">
        <v>-0.333</v>
      </c>
      <c r="K68" s="1">
        <v>1.176</v>
      </c>
      <c r="L68" s="1">
        <v>0.35</v>
      </c>
      <c r="O68" t="s">
        <v>199</v>
      </c>
    </row>
    <row r="69" spans="1:15">
      <c r="A69" s="1">
        <v>-4.332</v>
      </c>
      <c r="B69" s="1">
        <v>-0.349</v>
      </c>
      <c r="C69" s="1">
        <v>1.181</v>
      </c>
      <c r="D69" s="1">
        <v>0.348</v>
      </c>
      <c r="H69" s="1">
        <v>6.24</v>
      </c>
      <c r="I69" s="1">
        <v>-4.339</v>
      </c>
      <c r="J69" s="1">
        <v>-0.353</v>
      </c>
      <c r="K69" s="1">
        <v>1.178</v>
      </c>
      <c r="L69" s="1">
        <v>0.34</v>
      </c>
      <c r="O69" t="s">
        <v>200</v>
      </c>
    </row>
    <row r="70" spans="1:15">
      <c r="A70" s="1">
        <v>-4.317</v>
      </c>
      <c r="B70" s="1">
        <v>-0.335</v>
      </c>
      <c r="C70" s="1">
        <v>1.17</v>
      </c>
      <c r="D70" s="1">
        <v>0.33</v>
      </c>
      <c r="H70" s="1">
        <v>6.26</v>
      </c>
      <c r="I70" s="1">
        <v>-4.332</v>
      </c>
      <c r="J70" s="1">
        <v>-0.349</v>
      </c>
      <c r="K70" s="1">
        <v>1.181</v>
      </c>
      <c r="L70" s="1">
        <v>0.348</v>
      </c>
      <c r="O70" t="s">
        <v>201</v>
      </c>
    </row>
    <row r="71" spans="1:15">
      <c r="A71" s="1">
        <v>-4.331</v>
      </c>
      <c r="B71" s="1">
        <v>-0.35</v>
      </c>
      <c r="C71" s="1">
        <v>1.18</v>
      </c>
      <c r="D71" s="1">
        <v>0.346</v>
      </c>
      <c r="H71" s="1">
        <v>6.29</v>
      </c>
      <c r="I71" s="1">
        <v>-4.317</v>
      </c>
      <c r="J71" s="1">
        <v>-0.335</v>
      </c>
      <c r="K71" s="1">
        <v>1.17</v>
      </c>
      <c r="L71" s="1">
        <v>0.33</v>
      </c>
      <c r="O71" t="s">
        <v>202</v>
      </c>
    </row>
    <row r="72" spans="1:15">
      <c r="A72" s="1">
        <v>-4.332</v>
      </c>
      <c r="B72" s="1">
        <v>-0.349</v>
      </c>
      <c r="C72" s="1">
        <v>1.181</v>
      </c>
      <c r="D72" s="1">
        <v>0.348</v>
      </c>
      <c r="H72" s="1">
        <v>7.01</v>
      </c>
      <c r="I72" s="1">
        <v>-4.331</v>
      </c>
      <c r="J72" s="1">
        <v>-0.35</v>
      </c>
      <c r="K72" s="1">
        <v>1.18</v>
      </c>
      <c r="L72" s="1">
        <v>0.346</v>
      </c>
      <c r="O72" t="s">
        <v>203</v>
      </c>
    </row>
    <row r="73" spans="1:15">
      <c r="A73" s="1">
        <v>-4.332</v>
      </c>
      <c r="B73" s="1">
        <v>-0.349</v>
      </c>
      <c r="C73" s="1">
        <v>1.18</v>
      </c>
      <c r="D73" s="1">
        <v>0.347</v>
      </c>
      <c r="H73" s="1">
        <v>7.03</v>
      </c>
      <c r="I73" s="1">
        <v>-4.332</v>
      </c>
      <c r="J73" s="1">
        <v>-0.349</v>
      </c>
      <c r="K73" s="1">
        <v>1.181</v>
      </c>
      <c r="L73" s="1">
        <v>0.348</v>
      </c>
      <c r="O73" t="s">
        <v>204</v>
      </c>
    </row>
    <row r="74" spans="1:15">
      <c r="A74" s="1">
        <v>-4.331</v>
      </c>
      <c r="B74" s="1">
        <v>-0.346</v>
      </c>
      <c r="C74" s="1">
        <v>1.18</v>
      </c>
      <c r="D74" s="1">
        <v>0.342</v>
      </c>
      <c r="H74" s="1">
        <v>7.05</v>
      </c>
      <c r="I74" s="1">
        <v>-4.332</v>
      </c>
      <c r="J74" s="1">
        <v>-0.349</v>
      </c>
      <c r="K74" s="1">
        <v>1.18</v>
      </c>
      <c r="L74" s="1">
        <v>0.347</v>
      </c>
      <c r="O74" t="s">
        <v>205</v>
      </c>
    </row>
    <row r="75" spans="1:15">
      <c r="A75" s="1">
        <v>-4.332</v>
      </c>
      <c r="B75" s="1">
        <v>-0.349</v>
      </c>
      <c r="C75" s="1">
        <v>1.181</v>
      </c>
      <c r="D75" s="1">
        <v>0.348</v>
      </c>
      <c r="H75" s="1">
        <v>7.08</v>
      </c>
      <c r="I75" s="1">
        <v>-4.331</v>
      </c>
      <c r="J75" s="1">
        <v>-0.346</v>
      </c>
      <c r="K75" s="1">
        <v>1.18</v>
      </c>
      <c r="L75" s="1">
        <v>0.342</v>
      </c>
      <c r="O75" t="s">
        <v>206</v>
      </c>
    </row>
    <row r="76" spans="1:15">
      <c r="A76" s="1">
        <v>-4.328</v>
      </c>
      <c r="B76" s="1">
        <v>-0.341</v>
      </c>
      <c r="C76" s="1">
        <v>1.179</v>
      </c>
      <c r="D76" s="1">
        <v>0.341</v>
      </c>
      <c r="H76" s="1">
        <v>7.1</v>
      </c>
      <c r="I76" s="1">
        <v>-4.332</v>
      </c>
      <c r="J76" s="1">
        <v>-0.349</v>
      </c>
      <c r="K76" s="1">
        <v>1.181</v>
      </c>
      <c r="L76" s="1">
        <v>0.348</v>
      </c>
      <c r="O76" t="s">
        <v>207</v>
      </c>
    </row>
    <row r="77" spans="1:15">
      <c r="A77" s="1">
        <v>-4.339</v>
      </c>
      <c r="B77" s="1">
        <v>-0.35</v>
      </c>
      <c r="C77" s="1">
        <v>1.171</v>
      </c>
      <c r="D77" s="1">
        <v>0.343</v>
      </c>
      <c r="H77" s="1">
        <v>7.12</v>
      </c>
      <c r="I77" s="1">
        <v>-4.328</v>
      </c>
      <c r="J77" s="1">
        <v>-0.341</v>
      </c>
      <c r="K77" s="1">
        <v>1.179</v>
      </c>
      <c r="L77" s="1">
        <v>0.341</v>
      </c>
      <c r="O77" t="s">
        <v>208</v>
      </c>
    </row>
    <row r="78" spans="1:15">
      <c r="A78" s="1">
        <v>-4.332</v>
      </c>
      <c r="B78" s="1">
        <v>-0.343</v>
      </c>
      <c r="C78" s="1">
        <v>1.171</v>
      </c>
      <c r="D78" s="1">
        <v>0.34</v>
      </c>
      <c r="H78" s="1">
        <v>7.15</v>
      </c>
      <c r="I78" s="1">
        <v>-4.339</v>
      </c>
      <c r="J78" s="1">
        <v>-0.35</v>
      </c>
      <c r="K78" s="1">
        <v>1.171</v>
      </c>
      <c r="L78" s="1">
        <v>0.343</v>
      </c>
      <c r="O78" t="s">
        <v>209</v>
      </c>
    </row>
    <row r="79" spans="1:15">
      <c r="A79" s="1">
        <v>-4.328</v>
      </c>
      <c r="B79" s="1">
        <v>-0.339</v>
      </c>
      <c r="C79" s="1">
        <v>1.179</v>
      </c>
      <c r="D79" s="1">
        <v>0.333</v>
      </c>
      <c r="H79" s="1">
        <v>7.17</v>
      </c>
      <c r="I79" s="1">
        <v>-4.332</v>
      </c>
      <c r="J79" s="1">
        <v>-0.343</v>
      </c>
      <c r="K79" s="1">
        <v>1.171</v>
      </c>
      <c r="L79" s="1">
        <v>0.34</v>
      </c>
      <c r="O79" t="s">
        <v>210</v>
      </c>
    </row>
    <row r="80" spans="1:15">
      <c r="A80" s="1">
        <v>-4.322</v>
      </c>
      <c r="B80" s="1">
        <v>-0.333</v>
      </c>
      <c r="C80" s="1">
        <v>1.17</v>
      </c>
      <c r="D80" s="1">
        <v>0.322</v>
      </c>
      <c r="H80" s="1">
        <v>7.2</v>
      </c>
      <c r="I80" s="1">
        <v>-4.328</v>
      </c>
      <c r="J80" s="1">
        <v>-0.339</v>
      </c>
      <c r="K80" s="1">
        <v>1.179</v>
      </c>
      <c r="L80" s="1">
        <v>0.333</v>
      </c>
      <c r="O80" t="s">
        <v>211</v>
      </c>
    </row>
    <row r="81" spans="1:15">
      <c r="A81" s="1">
        <v>-4.318</v>
      </c>
      <c r="B81" s="1">
        <v>-0.345</v>
      </c>
      <c r="C81" s="1">
        <v>1.168</v>
      </c>
      <c r="D81" s="1">
        <v>0.33</v>
      </c>
      <c r="H81" s="1">
        <v>7.22</v>
      </c>
      <c r="I81" s="1">
        <v>-4.322</v>
      </c>
      <c r="J81" s="1">
        <v>-0.333</v>
      </c>
      <c r="K81" s="1">
        <v>1.17</v>
      </c>
      <c r="L81" s="1">
        <v>0.322</v>
      </c>
      <c r="O81" t="s">
        <v>212</v>
      </c>
    </row>
    <row r="82" ht="14.25" spans="1:15">
      <c r="A82" s="1">
        <v>-4.332</v>
      </c>
      <c r="B82" s="1">
        <v>-0.336</v>
      </c>
      <c r="C82" s="1">
        <v>1.173</v>
      </c>
      <c r="D82" s="1">
        <v>0.338</v>
      </c>
      <c r="H82" s="1">
        <v>7.25</v>
      </c>
      <c r="I82" s="1">
        <v>-4.318</v>
      </c>
      <c r="J82" s="1">
        <v>-0.345</v>
      </c>
      <c r="K82" s="1">
        <v>1.168</v>
      </c>
      <c r="L82" s="1">
        <v>0.33</v>
      </c>
      <c r="O82" t="s">
        <v>213</v>
      </c>
    </row>
    <row r="83" ht="15" spans="1:15">
      <c r="A83" s="5">
        <v>-4.338</v>
      </c>
      <c r="B83" s="6">
        <v>-0.34</v>
      </c>
      <c r="C83" s="6">
        <v>1.177</v>
      </c>
      <c r="D83" s="6">
        <v>0.335</v>
      </c>
      <c r="H83" s="1">
        <v>7.27</v>
      </c>
      <c r="I83" s="1">
        <v>-4.332</v>
      </c>
      <c r="J83" s="1">
        <v>-0.336</v>
      </c>
      <c r="K83" s="1">
        <v>1.173</v>
      </c>
      <c r="L83" s="1">
        <v>0.338</v>
      </c>
      <c r="O83" s="4">
        <v>7.29</v>
      </c>
    </row>
    <row r="84" ht="15" spans="1:15">
      <c r="A84" s="7">
        <v>-4.332</v>
      </c>
      <c r="B84" s="8">
        <v>-0.34</v>
      </c>
      <c r="C84" s="8">
        <v>1.16</v>
      </c>
      <c r="D84" s="8">
        <v>0.328</v>
      </c>
      <c r="H84" s="5">
        <v>7.29</v>
      </c>
      <c r="I84" s="5">
        <v>-4.338</v>
      </c>
      <c r="J84" s="6">
        <v>-0.34</v>
      </c>
      <c r="K84" s="6">
        <v>1.177</v>
      </c>
      <c r="L84" s="6">
        <v>0.335</v>
      </c>
      <c r="O84" s="4">
        <v>8.1</v>
      </c>
    </row>
    <row r="85" ht="15" spans="1:15">
      <c r="A85" s="7">
        <v>-4.33</v>
      </c>
      <c r="B85" s="8">
        <v>-0.333</v>
      </c>
      <c r="C85" s="8">
        <v>1.178</v>
      </c>
      <c r="D85" s="8">
        <v>0.33</v>
      </c>
      <c r="H85" s="7">
        <v>8.1</v>
      </c>
      <c r="I85" s="7">
        <v>-4.332</v>
      </c>
      <c r="J85" s="8">
        <v>-0.34</v>
      </c>
      <c r="K85" s="8">
        <v>1.16</v>
      </c>
      <c r="L85" s="8">
        <v>0.328</v>
      </c>
      <c r="O85" s="4">
        <v>8.3</v>
      </c>
    </row>
    <row r="86" ht="15" spans="1:15">
      <c r="A86" s="7">
        <v>-4.338</v>
      </c>
      <c r="B86" s="8">
        <v>-0.34</v>
      </c>
      <c r="C86" s="8">
        <v>1.177</v>
      </c>
      <c r="D86" s="8">
        <v>0.335</v>
      </c>
      <c r="H86" s="7">
        <v>8.3</v>
      </c>
      <c r="I86" s="7">
        <v>-4.33</v>
      </c>
      <c r="J86" s="8">
        <v>-0.333</v>
      </c>
      <c r="K86" s="8">
        <v>1.178</v>
      </c>
      <c r="L86" s="8">
        <v>0.33</v>
      </c>
      <c r="O86" s="4">
        <v>8.5</v>
      </c>
    </row>
    <row r="87" ht="15" spans="1:15">
      <c r="A87" s="7">
        <v>-4.332</v>
      </c>
      <c r="B87" s="8">
        <v>-0.34</v>
      </c>
      <c r="C87" s="8">
        <v>1.16</v>
      </c>
      <c r="D87" s="8">
        <v>0.328</v>
      </c>
      <c r="H87" s="7">
        <v>8.5</v>
      </c>
      <c r="I87" s="7">
        <v>-4.338</v>
      </c>
      <c r="J87" s="8">
        <v>-0.34</v>
      </c>
      <c r="K87" s="8">
        <v>1.177</v>
      </c>
      <c r="L87" s="8">
        <v>0.335</v>
      </c>
      <c r="O87" s="4">
        <v>8.8</v>
      </c>
    </row>
    <row r="88" ht="15" spans="1:15">
      <c r="A88" s="7">
        <v>-4.33</v>
      </c>
      <c r="B88" s="8">
        <v>-0.333</v>
      </c>
      <c r="C88" s="8">
        <v>1.178</v>
      </c>
      <c r="D88" s="8">
        <v>0.33</v>
      </c>
      <c r="H88" s="7">
        <v>8.8</v>
      </c>
      <c r="I88" s="7">
        <v>-4.332</v>
      </c>
      <c r="J88" s="8">
        <v>-0.34</v>
      </c>
      <c r="K88" s="8">
        <v>1.16</v>
      </c>
      <c r="L88" s="8">
        <v>0.328</v>
      </c>
      <c r="O88" s="25" t="s">
        <v>214</v>
      </c>
    </row>
    <row r="89" ht="15" spans="1:15">
      <c r="A89" s="7">
        <v>-4.32</v>
      </c>
      <c r="B89" s="8">
        <v>-0.343</v>
      </c>
      <c r="C89" s="8">
        <v>1.17</v>
      </c>
      <c r="D89" s="8">
        <v>0.337</v>
      </c>
      <c r="H89" s="7">
        <v>8.1</v>
      </c>
      <c r="I89" s="7">
        <v>-4.33</v>
      </c>
      <c r="J89" s="8">
        <v>-0.333</v>
      </c>
      <c r="K89" s="8">
        <v>1.178</v>
      </c>
      <c r="L89" s="8">
        <v>0.33</v>
      </c>
      <c r="O89" s="4">
        <v>8.12</v>
      </c>
    </row>
    <row r="90" ht="15" spans="1:15">
      <c r="A90" s="7">
        <v>-4.318</v>
      </c>
      <c r="B90" s="8">
        <v>-0.349</v>
      </c>
      <c r="C90" s="8">
        <v>1.168</v>
      </c>
      <c r="D90" s="8">
        <v>0.33</v>
      </c>
      <c r="H90" s="7">
        <v>8.12</v>
      </c>
      <c r="I90" s="7">
        <v>-4.32</v>
      </c>
      <c r="J90" s="8">
        <v>-0.343</v>
      </c>
      <c r="K90" s="8">
        <v>1.17</v>
      </c>
      <c r="L90" s="8">
        <v>0.337</v>
      </c>
      <c r="O90" s="4">
        <v>8.15</v>
      </c>
    </row>
    <row r="91" ht="15" spans="1:15">
      <c r="A91" s="7">
        <v>-4.325</v>
      </c>
      <c r="B91" s="8">
        <v>-0.357</v>
      </c>
      <c r="C91" s="8">
        <v>1.173</v>
      </c>
      <c r="D91" s="8">
        <v>0.337</v>
      </c>
      <c r="H91" s="7">
        <v>8.15</v>
      </c>
      <c r="I91" s="7">
        <v>-4.318</v>
      </c>
      <c r="J91" s="8">
        <v>-0.349</v>
      </c>
      <c r="K91" s="8">
        <v>1.168</v>
      </c>
      <c r="L91" s="8">
        <v>0.33</v>
      </c>
      <c r="O91" s="4">
        <v>8.17</v>
      </c>
    </row>
    <row r="92" ht="15" spans="1:15">
      <c r="A92" s="7">
        <v>-4.322</v>
      </c>
      <c r="B92" s="8">
        <v>-0.345</v>
      </c>
      <c r="C92" s="8">
        <v>1.172</v>
      </c>
      <c r="D92" s="8">
        <v>0.339</v>
      </c>
      <c r="H92" s="7">
        <v>8.17</v>
      </c>
      <c r="I92" s="7">
        <v>-4.325</v>
      </c>
      <c r="J92" s="8">
        <v>-0.357</v>
      </c>
      <c r="K92" s="8">
        <v>1.173</v>
      </c>
      <c r="L92" s="8">
        <v>0.337</v>
      </c>
      <c r="O92" s="4">
        <v>8.19</v>
      </c>
    </row>
    <row r="93" ht="15" spans="1:15">
      <c r="A93" s="7">
        <v>-4.319</v>
      </c>
      <c r="B93" s="8">
        <v>-0.353</v>
      </c>
      <c r="C93" s="8">
        <v>1.168</v>
      </c>
      <c r="D93" s="8">
        <v>0.336</v>
      </c>
      <c r="H93" s="7">
        <v>8.19</v>
      </c>
      <c r="I93" s="7">
        <v>-4.322</v>
      </c>
      <c r="J93" s="8">
        <v>-0.345</v>
      </c>
      <c r="K93" s="8">
        <v>1.172</v>
      </c>
      <c r="L93" s="8">
        <v>0.339</v>
      </c>
      <c r="O93" s="4">
        <v>8.22</v>
      </c>
    </row>
    <row r="94" ht="15" spans="1:15">
      <c r="A94" s="7">
        <v>-4.325</v>
      </c>
      <c r="B94" s="8">
        <v>-0.356</v>
      </c>
      <c r="C94" s="8">
        <v>1.175</v>
      </c>
      <c r="D94" s="8">
        <v>0.334</v>
      </c>
      <c r="H94" s="7">
        <v>8.22</v>
      </c>
      <c r="I94" s="7">
        <v>-4.319</v>
      </c>
      <c r="J94" s="8">
        <v>-0.353</v>
      </c>
      <c r="K94" s="8">
        <v>1.168</v>
      </c>
      <c r="L94" s="8">
        <v>0.336</v>
      </c>
      <c r="O94" s="4">
        <v>8.24</v>
      </c>
    </row>
    <row r="95" ht="15" spans="1:15">
      <c r="A95" s="1">
        <v>-4.32</v>
      </c>
      <c r="B95" s="1">
        <v>-0.341</v>
      </c>
      <c r="C95" s="1">
        <v>1.178</v>
      </c>
      <c r="D95" s="1">
        <v>0.341</v>
      </c>
      <c r="H95" s="7">
        <v>8.24</v>
      </c>
      <c r="I95" s="7">
        <v>-4.325</v>
      </c>
      <c r="J95" s="8">
        <v>-0.356</v>
      </c>
      <c r="K95" s="8">
        <v>1.175</v>
      </c>
      <c r="L95" s="8">
        <v>0.334</v>
      </c>
      <c r="O95" t="s">
        <v>215</v>
      </c>
    </row>
    <row r="96" spans="1:15">
      <c r="A96" s="1">
        <v>-4.328</v>
      </c>
      <c r="B96" s="1">
        <v>-0.35</v>
      </c>
      <c r="C96" s="1">
        <v>1.171</v>
      </c>
      <c r="D96" s="1">
        <v>0.33</v>
      </c>
      <c r="H96" s="1">
        <v>8.27</v>
      </c>
      <c r="I96" s="1">
        <v>-4.32</v>
      </c>
      <c r="J96" s="1">
        <v>-0.341</v>
      </c>
      <c r="K96" s="1">
        <v>1.178</v>
      </c>
      <c r="L96" s="1">
        <v>0.341</v>
      </c>
      <c r="O96" t="s">
        <v>216</v>
      </c>
    </row>
    <row r="97" spans="1:15">
      <c r="A97" s="1">
        <v>-4.32</v>
      </c>
      <c r="B97" s="1">
        <v>-0.35</v>
      </c>
      <c r="C97" s="1">
        <v>1.175</v>
      </c>
      <c r="D97" s="1">
        <v>0.334</v>
      </c>
      <c r="H97" s="1">
        <v>8.29</v>
      </c>
      <c r="I97" s="1">
        <v>-4.328</v>
      </c>
      <c r="J97" s="1">
        <v>-0.35</v>
      </c>
      <c r="K97" s="1">
        <v>1.171</v>
      </c>
      <c r="L97" s="1">
        <v>0.33</v>
      </c>
      <c r="O97" t="s">
        <v>217</v>
      </c>
    </row>
    <row r="98" spans="1:15">
      <c r="A98" s="1">
        <v>-4.326</v>
      </c>
      <c r="B98" s="1">
        <v>-0.34</v>
      </c>
      <c r="C98" s="1">
        <v>1.172</v>
      </c>
      <c r="D98" s="1">
        <v>0.347</v>
      </c>
      <c r="H98" s="1">
        <v>8.31</v>
      </c>
      <c r="I98" s="1">
        <v>-4.32</v>
      </c>
      <c r="J98" s="1">
        <v>-0.35</v>
      </c>
      <c r="K98" s="1">
        <v>1.175</v>
      </c>
      <c r="L98" s="1">
        <v>0.334</v>
      </c>
      <c r="O98" t="s">
        <v>218</v>
      </c>
    </row>
    <row r="99" spans="1:15">
      <c r="A99" s="1">
        <v>-4.315</v>
      </c>
      <c r="B99" s="1">
        <v>-0.343</v>
      </c>
      <c r="C99" s="1">
        <v>1.168</v>
      </c>
      <c r="D99" s="1">
        <v>0.33</v>
      </c>
      <c r="H99" s="1">
        <v>9.2</v>
      </c>
      <c r="I99" s="1">
        <v>-4.326</v>
      </c>
      <c r="J99" s="1">
        <v>-0.34</v>
      </c>
      <c r="K99" s="1">
        <v>1.172</v>
      </c>
      <c r="L99" s="1">
        <v>0.347</v>
      </c>
      <c r="O99" t="s">
        <v>219</v>
      </c>
    </row>
    <row r="100" spans="1:15">
      <c r="A100" s="1">
        <v>-4.32</v>
      </c>
      <c r="B100" s="1">
        <v>-0.349</v>
      </c>
      <c r="C100" s="1">
        <v>1.17</v>
      </c>
      <c r="D100" s="1">
        <v>0.34</v>
      </c>
      <c r="H100" s="1">
        <v>9.4</v>
      </c>
      <c r="I100" s="1">
        <v>-4.315</v>
      </c>
      <c r="J100" s="1">
        <v>-0.343</v>
      </c>
      <c r="K100" s="1">
        <v>1.168</v>
      </c>
      <c r="L100" s="1">
        <v>0.33</v>
      </c>
      <c r="O100" t="s">
        <v>220</v>
      </c>
    </row>
    <row r="101" spans="1:15">
      <c r="A101" s="1">
        <v>-4.312</v>
      </c>
      <c r="B101" s="1">
        <v>-0.351</v>
      </c>
      <c r="C101" s="1">
        <v>1.17</v>
      </c>
      <c r="D101" s="1">
        <v>0.337</v>
      </c>
      <c r="H101" s="1">
        <v>9.7</v>
      </c>
      <c r="I101" s="1">
        <v>-4.32</v>
      </c>
      <c r="J101" s="1">
        <v>-0.349</v>
      </c>
      <c r="K101" s="1">
        <v>1.17</v>
      </c>
      <c r="L101" s="1">
        <v>0.34</v>
      </c>
      <c r="O101" t="s">
        <v>221</v>
      </c>
    </row>
    <row r="102" spans="1:15">
      <c r="A102" s="1">
        <v>-4.319</v>
      </c>
      <c r="B102" s="1">
        <v>-0.353</v>
      </c>
      <c r="C102" s="1">
        <v>1.178</v>
      </c>
      <c r="D102" s="1">
        <v>0.336</v>
      </c>
      <c r="H102" s="1">
        <v>9.9</v>
      </c>
      <c r="I102" s="1">
        <v>-4.312</v>
      </c>
      <c r="J102" s="1">
        <v>-0.351</v>
      </c>
      <c r="K102" s="1">
        <v>1.17</v>
      </c>
      <c r="L102" s="1">
        <v>0.337</v>
      </c>
      <c r="O102" t="s">
        <v>222</v>
      </c>
    </row>
    <row r="103" spans="1:15">
      <c r="A103" s="1">
        <v>-4.309</v>
      </c>
      <c r="B103" s="1">
        <v>-0.356</v>
      </c>
      <c r="C103" s="1">
        <v>1.175</v>
      </c>
      <c r="D103" s="1">
        <v>0.341</v>
      </c>
      <c r="H103" s="1">
        <v>9.11</v>
      </c>
      <c r="I103" s="1">
        <v>-4.319</v>
      </c>
      <c r="J103" s="1">
        <v>-0.353</v>
      </c>
      <c r="K103" s="1">
        <v>1.178</v>
      </c>
      <c r="L103" s="1">
        <v>0.336</v>
      </c>
      <c r="O103" t="s">
        <v>223</v>
      </c>
    </row>
    <row r="104" spans="1:15">
      <c r="A104" s="1">
        <v>-4.329</v>
      </c>
      <c r="B104" s="1">
        <v>-0.341</v>
      </c>
      <c r="C104" s="1">
        <v>1.17</v>
      </c>
      <c r="D104" s="1">
        <v>0.331</v>
      </c>
      <c r="H104" s="1">
        <v>9.14</v>
      </c>
      <c r="I104" s="1">
        <v>-4.309</v>
      </c>
      <c r="J104" s="1">
        <v>-0.356</v>
      </c>
      <c r="K104" s="1">
        <v>1.175</v>
      </c>
      <c r="L104" s="1">
        <v>0.341</v>
      </c>
      <c r="O104" t="s">
        <v>224</v>
      </c>
    </row>
    <row r="105" spans="1:15">
      <c r="A105" s="1">
        <v>-4.321</v>
      </c>
      <c r="B105" s="1">
        <v>-0.353</v>
      </c>
      <c r="C105" s="1">
        <v>1.161</v>
      </c>
      <c r="D105" s="1">
        <v>0.336</v>
      </c>
      <c r="H105" s="1">
        <v>9.16</v>
      </c>
      <c r="I105" s="1">
        <v>-4.329</v>
      </c>
      <c r="J105" s="1">
        <v>-0.341</v>
      </c>
      <c r="K105" s="1">
        <v>1.17</v>
      </c>
      <c r="L105" s="1">
        <v>0.331</v>
      </c>
      <c r="O105" t="s">
        <v>225</v>
      </c>
    </row>
    <row r="106" spans="1:15">
      <c r="A106" s="1">
        <v>-4.32</v>
      </c>
      <c r="B106" s="1">
        <v>-0.35</v>
      </c>
      <c r="C106" s="1">
        <v>1.175</v>
      </c>
      <c r="D106" s="1">
        <v>0.329</v>
      </c>
      <c r="H106" s="1">
        <v>9.18</v>
      </c>
      <c r="I106" s="1">
        <v>-4.321</v>
      </c>
      <c r="J106" s="1">
        <v>-0.353</v>
      </c>
      <c r="K106" s="1">
        <v>1.161</v>
      </c>
      <c r="L106" s="1">
        <v>0.336</v>
      </c>
      <c r="O106" t="s">
        <v>226</v>
      </c>
    </row>
    <row r="107" spans="1:15">
      <c r="A107" s="1">
        <v>-4.323</v>
      </c>
      <c r="B107" s="1">
        <v>-0.348</v>
      </c>
      <c r="C107" s="1">
        <v>1.176</v>
      </c>
      <c r="D107" s="1">
        <v>0.33</v>
      </c>
      <c r="H107" s="1">
        <v>9.21</v>
      </c>
      <c r="I107" s="1">
        <v>-4.32</v>
      </c>
      <c r="J107" s="1">
        <v>-0.35</v>
      </c>
      <c r="K107" s="1">
        <v>1.175</v>
      </c>
      <c r="L107" s="1">
        <v>0.329</v>
      </c>
      <c r="O107" t="s">
        <v>227</v>
      </c>
    </row>
    <row r="108" spans="1:15">
      <c r="A108" s="1">
        <v>-4.32</v>
      </c>
      <c r="B108" s="1">
        <v>-0.35</v>
      </c>
      <c r="C108" s="1">
        <v>1.166</v>
      </c>
      <c r="D108" s="1">
        <v>0.336</v>
      </c>
      <c r="H108" s="1">
        <v>9.23</v>
      </c>
      <c r="I108" s="1">
        <v>-4.323</v>
      </c>
      <c r="J108" s="1">
        <v>-0.348</v>
      </c>
      <c r="K108" s="1">
        <v>1.176</v>
      </c>
      <c r="L108" s="1">
        <v>0.33</v>
      </c>
      <c r="O108" t="s">
        <v>228</v>
      </c>
    </row>
    <row r="109" ht="14.25" spans="1:15">
      <c r="A109" s="1">
        <v>-4.325</v>
      </c>
      <c r="B109" s="1">
        <v>-0.348</v>
      </c>
      <c r="C109" s="1">
        <v>1.17</v>
      </c>
      <c r="D109" s="1">
        <v>0.339</v>
      </c>
      <c r="H109" s="1">
        <v>9.25</v>
      </c>
      <c r="I109" s="1">
        <v>-4.32</v>
      </c>
      <c r="J109" s="1">
        <v>-0.35</v>
      </c>
      <c r="K109" s="1">
        <v>1.166</v>
      </c>
      <c r="L109" s="1">
        <v>0.336</v>
      </c>
      <c r="O109" t="s">
        <v>229</v>
      </c>
    </row>
    <row r="110" ht="15" spans="1:15">
      <c r="A110" s="5">
        <v>-4.32</v>
      </c>
      <c r="B110" s="6">
        <v>-0.34</v>
      </c>
      <c r="C110" s="6">
        <v>1.176</v>
      </c>
      <c r="D110" s="6">
        <v>0.333</v>
      </c>
      <c r="H110" s="1">
        <v>9.27</v>
      </c>
      <c r="I110" s="1">
        <v>-4.325</v>
      </c>
      <c r="J110" s="1">
        <v>-0.348</v>
      </c>
      <c r="K110" s="1">
        <v>1.17</v>
      </c>
      <c r="L110" s="1">
        <v>0.339</v>
      </c>
      <c r="O110" s="4">
        <v>9.29</v>
      </c>
    </row>
    <row r="111" ht="15" spans="1:15">
      <c r="A111" s="7">
        <v>-4.32</v>
      </c>
      <c r="B111" s="8">
        <v>-0.355</v>
      </c>
      <c r="C111" s="8">
        <v>1.17</v>
      </c>
      <c r="D111" s="8">
        <v>0.341</v>
      </c>
      <c r="H111" s="5">
        <v>9.29</v>
      </c>
      <c r="I111" s="5">
        <v>-4.32</v>
      </c>
      <c r="J111" s="6">
        <v>-0.34</v>
      </c>
      <c r="K111" s="6">
        <v>1.176</v>
      </c>
      <c r="L111" s="6">
        <v>0.333</v>
      </c>
      <c r="O111" s="4">
        <v>10.2</v>
      </c>
    </row>
    <row r="112" ht="15" spans="1:15">
      <c r="A112" s="7">
        <v>-4.329</v>
      </c>
      <c r="B112" s="8">
        <v>-0.344</v>
      </c>
      <c r="C112" s="8">
        <v>1.17</v>
      </c>
      <c r="D112" s="8">
        <v>0.339</v>
      </c>
      <c r="H112" s="7">
        <v>10.2</v>
      </c>
      <c r="I112" s="7">
        <v>-4.32</v>
      </c>
      <c r="J112" s="8">
        <v>-0.355</v>
      </c>
      <c r="K112" s="8">
        <v>1.17</v>
      </c>
      <c r="L112" s="8">
        <v>0.341</v>
      </c>
      <c r="O112" s="4">
        <v>10.5</v>
      </c>
    </row>
    <row r="113" ht="15" spans="1:15">
      <c r="A113" s="7">
        <v>-4.33</v>
      </c>
      <c r="B113" s="8">
        <v>-0.333</v>
      </c>
      <c r="C113" s="8">
        <v>1.177</v>
      </c>
      <c r="D113" s="8">
        <v>0.337</v>
      </c>
      <c r="H113" s="7">
        <v>10.5</v>
      </c>
      <c r="I113" s="7">
        <v>-4.329</v>
      </c>
      <c r="J113" s="8">
        <v>-0.344</v>
      </c>
      <c r="K113" s="8">
        <v>1.17</v>
      </c>
      <c r="L113" s="8">
        <v>0.339</v>
      </c>
      <c r="O113" s="4">
        <v>10.7</v>
      </c>
    </row>
    <row r="114" ht="15" spans="1:15">
      <c r="A114" s="7">
        <v>-4.318</v>
      </c>
      <c r="B114" s="8">
        <v>-0.349</v>
      </c>
      <c r="C114" s="8">
        <v>1.168</v>
      </c>
      <c r="D114" s="8">
        <v>0.34</v>
      </c>
      <c r="H114" s="7">
        <v>10.7</v>
      </c>
      <c r="I114" s="7">
        <v>-4.33</v>
      </c>
      <c r="J114" s="8">
        <v>-0.333</v>
      </c>
      <c r="K114" s="8">
        <v>1.177</v>
      </c>
      <c r="L114" s="8">
        <v>0.337</v>
      </c>
      <c r="O114" s="4">
        <v>10.9</v>
      </c>
    </row>
    <row r="115" ht="15" spans="1:15">
      <c r="A115" s="7">
        <v>-4.326</v>
      </c>
      <c r="B115" s="8">
        <v>-0.347</v>
      </c>
      <c r="C115" s="8">
        <v>1.173</v>
      </c>
      <c r="D115" s="8">
        <v>0.337</v>
      </c>
      <c r="H115" s="7">
        <v>10.9</v>
      </c>
      <c r="I115" s="7">
        <v>-4.318</v>
      </c>
      <c r="J115" s="8">
        <v>-0.349</v>
      </c>
      <c r="K115" s="8">
        <v>1.168</v>
      </c>
      <c r="L115" s="8">
        <v>0.34</v>
      </c>
      <c r="O115" s="4">
        <v>10.11</v>
      </c>
    </row>
    <row r="116" ht="15" spans="1:15">
      <c r="A116" s="7">
        <v>-4.33</v>
      </c>
      <c r="B116" s="8">
        <v>-0.341</v>
      </c>
      <c r="C116" s="8">
        <v>1.177</v>
      </c>
      <c r="D116" s="8">
        <v>0.33</v>
      </c>
      <c r="H116" s="7">
        <v>10.11</v>
      </c>
      <c r="I116" s="7">
        <v>-4.326</v>
      </c>
      <c r="J116" s="8">
        <v>-0.347</v>
      </c>
      <c r="K116" s="8">
        <v>1.173</v>
      </c>
      <c r="L116" s="8">
        <v>0.337</v>
      </c>
      <c r="O116" s="4">
        <v>10.15</v>
      </c>
    </row>
    <row r="117" ht="15" spans="1:15">
      <c r="A117" s="7">
        <v>-4.332</v>
      </c>
      <c r="B117" s="8">
        <v>-0.34</v>
      </c>
      <c r="C117" s="8">
        <v>1.165</v>
      </c>
      <c r="D117" s="8">
        <v>0.328</v>
      </c>
      <c r="H117" s="7">
        <v>10.15</v>
      </c>
      <c r="I117" s="7">
        <v>-4.33</v>
      </c>
      <c r="J117" s="8">
        <v>-0.341</v>
      </c>
      <c r="K117" s="8">
        <v>1.177</v>
      </c>
      <c r="L117" s="8">
        <v>0.33</v>
      </c>
      <c r="O117" s="4">
        <v>10.17</v>
      </c>
    </row>
    <row r="118" ht="15" spans="1:15">
      <c r="A118" s="7">
        <v>-4.336</v>
      </c>
      <c r="B118" s="8">
        <v>-0.343</v>
      </c>
      <c r="C118" s="8">
        <v>1.171</v>
      </c>
      <c r="D118" s="8">
        <v>0.335</v>
      </c>
      <c r="H118" s="7">
        <v>10.17</v>
      </c>
      <c r="I118" s="7">
        <v>-4.332</v>
      </c>
      <c r="J118" s="8">
        <v>-0.34</v>
      </c>
      <c r="K118" s="8">
        <v>1.165</v>
      </c>
      <c r="L118" s="8">
        <v>0.328</v>
      </c>
      <c r="O118" s="4">
        <v>10.19</v>
      </c>
    </row>
    <row r="119" ht="15" spans="1:15">
      <c r="A119" s="7">
        <v>-4.333</v>
      </c>
      <c r="B119" s="8">
        <v>-0.341</v>
      </c>
      <c r="C119" s="8">
        <v>1.177</v>
      </c>
      <c r="D119" s="8">
        <v>0.332</v>
      </c>
      <c r="H119" s="7">
        <v>10.19</v>
      </c>
      <c r="I119" s="7">
        <v>-4.336</v>
      </c>
      <c r="J119" s="8">
        <v>-0.343</v>
      </c>
      <c r="K119" s="8">
        <v>1.171</v>
      </c>
      <c r="L119" s="8">
        <v>0.335</v>
      </c>
      <c r="O119" s="4">
        <v>10.21</v>
      </c>
    </row>
    <row r="120" ht="15" spans="1:15">
      <c r="A120" s="7">
        <v>-4.335</v>
      </c>
      <c r="B120" s="8">
        <v>-0.34</v>
      </c>
      <c r="C120" s="8">
        <v>1.16</v>
      </c>
      <c r="D120" s="8">
        <v>0.328</v>
      </c>
      <c r="H120" s="7">
        <v>10.21</v>
      </c>
      <c r="I120" s="7">
        <v>-4.333</v>
      </c>
      <c r="J120" s="8">
        <v>-0.341</v>
      </c>
      <c r="K120" s="8">
        <v>1.177</v>
      </c>
      <c r="L120" s="8">
        <v>0.332</v>
      </c>
      <c r="O120" s="4">
        <v>10.23</v>
      </c>
    </row>
    <row r="121" ht="15" spans="1:15">
      <c r="A121" s="7">
        <v>-4.33</v>
      </c>
      <c r="B121" s="8">
        <v>-0.333</v>
      </c>
      <c r="C121" s="8">
        <v>1.175</v>
      </c>
      <c r="D121" s="8">
        <v>0.33</v>
      </c>
      <c r="H121" s="7">
        <v>10.23</v>
      </c>
      <c r="I121" s="7">
        <v>-4.335</v>
      </c>
      <c r="J121" s="8">
        <v>-0.34</v>
      </c>
      <c r="K121" s="8">
        <v>1.16</v>
      </c>
      <c r="L121" s="8">
        <v>0.328</v>
      </c>
      <c r="O121" s="4">
        <v>10.26</v>
      </c>
    </row>
    <row r="122" ht="15" spans="1:15">
      <c r="A122" s="1">
        <v>-4.331</v>
      </c>
      <c r="B122" s="1">
        <v>-0.341</v>
      </c>
      <c r="C122" s="1">
        <v>1.175</v>
      </c>
      <c r="D122" s="1">
        <v>0.335</v>
      </c>
      <c r="H122" s="7">
        <v>10.26</v>
      </c>
      <c r="I122" s="7">
        <v>-4.33</v>
      </c>
      <c r="J122" s="8">
        <v>-0.333</v>
      </c>
      <c r="K122" s="8">
        <v>1.175</v>
      </c>
      <c r="L122" s="8">
        <v>0.33</v>
      </c>
      <c r="O122" t="s">
        <v>230</v>
      </c>
    </row>
    <row r="123" spans="1:15">
      <c r="A123" s="1">
        <v>-4.334</v>
      </c>
      <c r="B123" s="1">
        <v>-0.34</v>
      </c>
      <c r="C123" s="1">
        <v>1.168</v>
      </c>
      <c r="D123" s="1">
        <v>0.331</v>
      </c>
      <c r="H123" s="1">
        <v>10.28</v>
      </c>
      <c r="I123" s="1">
        <v>-4.331</v>
      </c>
      <c r="J123" s="1">
        <v>-0.341</v>
      </c>
      <c r="K123" s="1">
        <v>1.175</v>
      </c>
      <c r="L123" s="1">
        <v>0.335</v>
      </c>
      <c r="O123" t="s">
        <v>231</v>
      </c>
    </row>
    <row r="124" spans="1:15">
      <c r="A124" s="1">
        <v>-4.335</v>
      </c>
      <c r="B124" s="1">
        <v>-0.333</v>
      </c>
      <c r="C124" s="1">
        <v>1.178</v>
      </c>
      <c r="D124" s="1">
        <v>0.214</v>
      </c>
      <c r="H124" s="1">
        <v>10.3</v>
      </c>
      <c r="I124" s="1">
        <v>-4.334</v>
      </c>
      <c r="J124" s="1">
        <v>-0.34</v>
      </c>
      <c r="K124" s="1">
        <v>1.168</v>
      </c>
      <c r="L124" s="1">
        <v>0.331</v>
      </c>
      <c r="O124" t="s">
        <v>232</v>
      </c>
    </row>
    <row r="125" spans="1:15">
      <c r="A125" s="1">
        <v>-4.329</v>
      </c>
      <c r="B125" s="1">
        <v>-0.339</v>
      </c>
      <c r="C125" s="1">
        <v>1.177</v>
      </c>
      <c r="D125" s="1">
        <v>0.339</v>
      </c>
      <c r="H125" s="1">
        <v>11.2</v>
      </c>
      <c r="I125" s="1">
        <v>-4.335</v>
      </c>
      <c r="J125" s="1">
        <v>-0.333</v>
      </c>
      <c r="K125" s="1">
        <v>1.178</v>
      </c>
      <c r="L125" s="1">
        <v>0.214</v>
      </c>
      <c r="O125" t="s">
        <v>233</v>
      </c>
    </row>
    <row r="126" spans="1:15">
      <c r="A126" s="1">
        <v>-4.337</v>
      </c>
      <c r="B126" s="1">
        <v>-0.342</v>
      </c>
      <c r="C126" s="1">
        <v>1.173</v>
      </c>
      <c r="D126" s="1">
        <v>0.333</v>
      </c>
      <c r="H126" s="1">
        <v>11.4</v>
      </c>
      <c r="I126" s="1">
        <v>-4.329</v>
      </c>
      <c r="J126" s="1">
        <v>-0.339</v>
      </c>
      <c r="K126" s="1">
        <v>1.177</v>
      </c>
      <c r="L126" s="1">
        <v>0.339</v>
      </c>
      <c r="O126" t="s">
        <v>234</v>
      </c>
    </row>
    <row r="127" spans="1:15">
      <c r="A127" s="1">
        <v>-4.332</v>
      </c>
      <c r="B127" s="1">
        <v>-0.353</v>
      </c>
      <c r="C127" s="1">
        <v>1.169</v>
      </c>
      <c r="D127" s="1">
        <v>0.328</v>
      </c>
      <c r="H127" s="1">
        <v>11.6</v>
      </c>
      <c r="I127" s="1">
        <v>-4.337</v>
      </c>
      <c r="J127" s="1">
        <v>-0.342</v>
      </c>
      <c r="K127" s="1">
        <v>1.173</v>
      </c>
      <c r="L127" s="1">
        <v>0.333</v>
      </c>
      <c r="O127" t="s">
        <v>235</v>
      </c>
    </row>
    <row r="128" spans="1:15">
      <c r="A128" s="1">
        <v>-4.341</v>
      </c>
      <c r="B128" s="1">
        <v>-0.346</v>
      </c>
      <c r="C128" s="1">
        <v>1.183</v>
      </c>
      <c r="D128" s="1">
        <v>0.342</v>
      </c>
      <c r="H128" s="1">
        <v>11.9</v>
      </c>
      <c r="I128" s="1">
        <v>-4.332</v>
      </c>
      <c r="J128" s="1">
        <v>-0.353</v>
      </c>
      <c r="K128" s="1">
        <v>1.169</v>
      </c>
      <c r="L128" s="1">
        <v>0.328</v>
      </c>
      <c r="O128" t="s">
        <v>236</v>
      </c>
    </row>
    <row r="129" spans="1:15">
      <c r="A129" s="1">
        <v>-4.339</v>
      </c>
      <c r="B129" s="1">
        <v>-0.34</v>
      </c>
      <c r="C129" s="1">
        <v>1.161</v>
      </c>
      <c r="D129" s="1">
        <v>0.33</v>
      </c>
      <c r="H129" s="1">
        <v>11.11</v>
      </c>
      <c r="I129" s="1">
        <v>-4.341</v>
      </c>
      <c r="J129" s="1">
        <v>-0.346</v>
      </c>
      <c r="K129" s="1">
        <v>1.183</v>
      </c>
      <c r="L129" s="1">
        <v>0.342</v>
      </c>
      <c r="O129" t="s">
        <v>237</v>
      </c>
    </row>
    <row r="130" spans="1:15">
      <c r="A130" s="1">
        <v>-4.343</v>
      </c>
      <c r="B130" s="1">
        <v>-0.339</v>
      </c>
      <c r="C130" s="1">
        <v>1.175</v>
      </c>
      <c r="D130" s="1">
        <v>0.329</v>
      </c>
      <c r="H130" s="1">
        <v>11.13</v>
      </c>
      <c r="I130" s="1">
        <v>-4.339</v>
      </c>
      <c r="J130" s="1">
        <v>-0.34</v>
      </c>
      <c r="K130" s="1">
        <v>1.161</v>
      </c>
      <c r="L130" s="1">
        <v>0.33</v>
      </c>
      <c r="O130" t="s">
        <v>238</v>
      </c>
    </row>
    <row r="131" spans="1:15">
      <c r="A131" s="1">
        <v>-4.346</v>
      </c>
      <c r="B131" s="1">
        <v>-0.352</v>
      </c>
      <c r="C131" s="1">
        <v>1.187</v>
      </c>
      <c r="D131" s="1">
        <v>0.332</v>
      </c>
      <c r="H131" s="1">
        <v>11.16</v>
      </c>
      <c r="I131" s="1">
        <v>-4.343</v>
      </c>
      <c r="J131" s="1">
        <v>-0.339</v>
      </c>
      <c r="K131" s="1">
        <v>1.175</v>
      </c>
      <c r="L131" s="1">
        <v>0.329</v>
      </c>
      <c r="O131" t="s">
        <v>239</v>
      </c>
    </row>
    <row r="132" spans="1:15">
      <c r="A132" s="1">
        <v>-4.339</v>
      </c>
      <c r="B132" s="1">
        <v>-0.341</v>
      </c>
      <c r="C132" s="1">
        <v>1.165</v>
      </c>
      <c r="D132" s="1">
        <v>0.338</v>
      </c>
      <c r="H132" s="1">
        <v>11.18</v>
      </c>
      <c r="I132" s="1">
        <v>-4.346</v>
      </c>
      <c r="J132" s="1">
        <v>-0.352</v>
      </c>
      <c r="K132" s="1">
        <v>1.187</v>
      </c>
      <c r="L132" s="1">
        <v>0.332</v>
      </c>
      <c r="O132" t="s">
        <v>240</v>
      </c>
    </row>
    <row r="133" spans="1:15">
      <c r="A133" s="1">
        <v>-4.344</v>
      </c>
      <c r="B133" s="1">
        <v>-0.338</v>
      </c>
      <c r="C133" s="1">
        <v>1.178</v>
      </c>
      <c r="D133" s="1">
        <v>0.349</v>
      </c>
      <c r="H133" s="1">
        <v>11.2</v>
      </c>
      <c r="I133" s="1">
        <v>-4.339</v>
      </c>
      <c r="J133" s="1">
        <v>-0.341</v>
      </c>
      <c r="K133" s="1">
        <v>1.165</v>
      </c>
      <c r="L133" s="1">
        <v>0.338</v>
      </c>
      <c r="O133" t="s">
        <v>241</v>
      </c>
    </row>
    <row r="134" spans="1:15">
      <c r="A134" s="1">
        <v>-4.337</v>
      </c>
      <c r="B134" s="1">
        <v>-0.353</v>
      </c>
      <c r="C134" s="1">
        <v>1.176</v>
      </c>
      <c r="D134" s="1">
        <v>0.345</v>
      </c>
      <c r="H134" s="1">
        <v>11.23</v>
      </c>
      <c r="I134" s="1">
        <v>-4.344</v>
      </c>
      <c r="J134" s="1">
        <v>-0.338</v>
      </c>
      <c r="K134" s="1">
        <v>1.178</v>
      </c>
      <c r="L134" s="1">
        <v>0.349</v>
      </c>
      <c r="O134" t="s">
        <v>242</v>
      </c>
    </row>
    <row r="135" spans="1:15">
      <c r="A135" s="1">
        <v>-4.341</v>
      </c>
      <c r="B135" s="1">
        <v>-0.334</v>
      </c>
      <c r="C135" s="1">
        <v>1.159</v>
      </c>
      <c r="D135" s="1">
        <v>0.331</v>
      </c>
      <c r="H135" s="1">
        <v>11.25</v>
      </c>
      <c r="I135" s="1">
        <v>-4.337</v>
      </c>
      <c r="J135" s="1">
        <v>-0.353</v>
      </c>
      <c r="K135" s="1">
        <v>1.176</v>
      </c>
      <c r="L135" s="1">
        <v>0.345</v>
      </c>
      <c r="O135" t="s">
        <v>243</v>
      </c>
    </row>
    <row r="136" spans="1:15">
      <c r="A136" s="1">
        <v>-4.346</v>
      </c>
      <c r="B136" s="1">
        <v>-0.347</v>
      </c>
      <c r="C136" s="1">
        <v>1.178</v>
      </c>
      <c r="D136" s="1">
        <v>0.353</v>
      </c>
      <c r="H136" s="1">
        <v>11.27</v>
      </c>
      <c r="I136" s="1">
        <v>-4.341</v>
      </c>
      <c r="J136" s="1">
        <v>-0.334</v>
      </c>
      <c r="K136" s="1">
        <v>1.159</v>
      </c>
      <c r="L136" s="1">
        <v>0.331</v>
      </c>
      <c r="O136" t="s">
        <v>244</v>
      </c>
    </row>
    <row r="137" spans="1:15">
      <c r="A137" s="1">
        <v>-4.338</v>
      </c>
      <c r="B137" s="1">
        <v>-0.351</v>
      </c>
      <c r="C137" s="1">
        <v>1.174</v>
      </c>
      <c r="D137" s="1">
        <v>0.343</v>
      </c>
      <c r="H137" s="1">
        <v>11.3</v>
      </c>
      <c r="I137" s="1">
        <v>-4.346</v>
      </c>
      <c r="J137" s="1">
        <v>-0.347</v>
      </c>
      <c r="K137" s="1">
        <v>1.178</v>
      </c>
      <c r="L137" s="1">
        <v>0.353</v>
      </c>
      <c r="O137" t="s">
        <v>245</v>
      </c>
    </row>
    <row r="138" spans="1:15">
      <c r="A138" s="1">
        <v>-4.34</v>
      </c>
      <c r="B138" s="1">
        <v>-0.342</v>
      </c>
      <c r="C138" s="1">
        <v>1.17</v>
      </c>
      <c r="D138" s="1">
        <v>0.338</v>
      </c>
      <c r="H138" s="1">
        <v>12.2</v>
      </c>
      <c r="I138" s="1">
        <v>-4.338</v>
      </c>
      <c r="J138" s="1">
        <v>-0.351</v>
      </c>
      <c r="K138" s="1">
        <v>1.174</v>
      </c>
      <c r="L138" s="1">
        <v>0.343</v>
      </c>
      <c r="O138" t="s">
        <v>246</v>
      </c>
    </row>
    <row r="139" spans="1:15">
      <c r="A139" s="1">
        <v>-4.342</v>
      </c>
      <c r="B139" s="1">
        <v>-0.348</v>
      </c>
      <c r="C139" s="1">
        <v>1.165</v>
      </c>
      <c r="D139" s="1">
        <v>0.346</v>
      </c>
      <c r="H139" s="1">
        <v>12.4</v>
      </c>
      <c r="I139" s="1">
        <v>-4.34</v>
      </c>
      <c r="J139" s="1">
        <v>-0.342</v>
      </c>
      <c r="K139" s="1">
        <v>1.17</v>
      </c>
      <c r="L139" s="1">
        <v>0.338</v>
      </c>
      <c r="O139" t="s">
        <v>247</v>
      </c>
    </row>
    <row r="140" spans="1:15">
      <c r="A140" s="1">
        <v>-4.341</v>
      </c>
      <c r="B140" s="1">
        <v>-0.349</v>
      </c>
      <c r="C140" s="1">
        <v>1.172</v>
      </c>
      <c r="D140" s="1">
        <v>0.348</v>
      </c>
      <c r="H140" s="1">
        <v>12.7</v>
      </c>
      <c r="I140" s="1">
        <v>-4.342</v>
      </c>
      <c r="J140" s="1">
        <v>-0.348</v>
      </c>
      <c r="K140" s="1">
        <v>1.165</v>
      </c>
      <c r="L140" s="1">
        <v>0.346</v>
      </c>
      <c r="O140" t="s">
        <v>248</v>
      </c>
    </row>
    <row r="141" spans="1:15">
      <c r="A141" s="1">
        <v>-4.338</v>
      </c>
      <c r="B141" s="1">
        <v>-0.343</v>
      </c>
      <c r="C141" s="1">
        <v>1.175</v>
      </c>
      <c r="D141" s="1">
        <v>0.343</v>
      </c>
      <c r="H141" s="1">
        <v>12.9</v>
      </c>
      <c r="I141" s="1">
        <v>-4.341</v>
      </c>
      <c r="J141" s="1">
        <v>-0.349</v>
      </c>
      <c r="K141" s="1">
        <v>1.172</v>
      </c>
      <c r="L141" s="1">
        <v>0.348</v>
      </c>
      <c r="O141" t="s">
        <v>249</v>
      </c>
    </row>
    <row r="142" spans="1:15">
      <c r="A142" s="1">
        <v>-4.342</v>
      </c>
      <c r="B142" s="1">
        <v>-0.352</v>
      </c>
      <c r="C142" s="1">
        <v>1.168</v>
      </c>
      <c r="D142" s="1">
        <v>0.339</v>
      </c>
      <c r="H142" s="1">
        <v>12.11</v>
      </c>
      <c r="I142" s="1">
        <v>-4.338</v>
      </c>
      <c r="J142" s="1">
        <v>-0.343</v>
      </c>
      <c r="K142" s="1">
        <v>1.175</v>
      </c>
      <c r="L142" s="1">
        <v>0.343</v>
      </c>
      <c r="O142" t="s">
        <v>250</v>
      </c>
    </row>
    <row r="143" spans="1:15">
      <c r="A143" s="1">
        <v>-4.33</v>
      </c>
      <c r="B143" s="1">
        <v>-0.341</v>
      </c>
      <c r="C143" s="1">
        <v>1.176</v>
      </c>
      <c r="D143" s="1">
        <v>0.345</v>
      </c>
      <c r="H143" s="1">
        <v>12.14</v>
      </c>
      <c r="I143" s="1">
        <v>-4.342</v>
      </c>
      <c r="J143" s="1">
        <v>-0.352</v>
      </c>
      <c r="K143" s="1">
        <v>1.168</v>
      </c>
      <c r="L143" s="1">
        <v>0.339</v>
      </c>
      <c r="O143" t="s">
        <v>251</v>
      </c>
    </row>
    <row r="144" spans="1:15">
      <c r="A144" s="1">
        <v>-4.335</v>
      </c>
      <c r="B144" s="1">
        <v>-0.339</v>
      </c>
      <c r="C144" s="1">
        <v>1.174</v>
      </c>
      <c r="D144" s="1">
        <v>0.331</v>
      </c>
      <c r="H144" s="1">
        <v>12.16</v>
      </c>
      <c r="I144" s="1">
        <v>-4.33</v>
      </c>
      <c r="J144" s="1">
        <v>-0.341</v>
      </c>
      <c r="K144" s="1">
        <v>1.176</v>
      </c>
      <c r="L144" s="1">
        <v>0.345</v>
      </c>
      <c r="O144" t="s">
        <v>252</v>
      </c>
    </row>
    <row r="145" spans="1:15">
      <c r="A145" s="1">
        <v>-4.332</v>
      </c>
      <c r="B145" s="1">
        <v>-0.352</v>
      </c>
      <c r="C145" s="1">
        <v>1.169</v>
      </c>
      <c r="D145" s="1">
        <v>0.353</v>
      </c>
      <c r="H145" s="1">
        <v>12.18</v>
      </c>
      <c r="I145" s="1">
        <v>-4.335</v>
      </c>
      <c r="J145" s="1">
        <v>-0.339</v>
      </c>
      <c r="K145" s="1">
        <v>1.174</v>
      </c>
      <c r="L145" s="1">
        <v>0.331</v>
      </c>
      <c r="O145" t="s">
        <v>253</v>
      </c>
    </row>
    <row r="146" spans="1:15">
      <c r="A146" s="1">
        <v>-4.343</v>
      </c>
      <c r="B146" s="1">
        <v>-0.351</v>
      </c>
      <c r="C146" s="1">
        <v>1.18</v>
      </c>
      <c r="D146" s="1">
        <v>0.334</v>
      </c>
      <c r="H146" s="1">
        <v>12.21</v>
      </c>
      <c r="I146" s="1">
        <v>-4.332</v>
      </c>
      <c r="J146" s="1">
        <v>-0.352</v>
      </c>
      <c r="K146" s="1">
        <v>1.169</v>
      </c>
      <c r="L146" s="1">
        <v>0.353</v>
      </c>
      <c r="O146" t="s">
        <v>254</v>
      </c>
    </row>
    <row r="147" spans="1:15">
      <c r="A147" s="1">
        <v>-4.335</v>
      </c>
      <c r="B147" s="1">
        <v>-0.346</v>
      </c>
      <c r="C147" s="1">
        <v>1.172</v>
      </c>
      <c r="D147" s="1">
        <v>0.341</v>
      </c>
      <c r="H147" s="1">
        <v>12.23</v>
      </c>
      <c r="I147" s="1">
        <v>-4.343</v>
      </c>
      <c r="J147" s="1">
        <v>-0.351</v>
      </c>
      <c r="K147" s="1">
        <v>1.18</v>
      </c>
      <c r="L147" s="1">
        <v>0.334</v>
      </c>
      <c r="O147" t="s">
        <v>255</v>
      </c>
    </row>
    <row r="148" spans="1:15">
      <c r="A148" s="1">
        <v>-4.342</v>
      </c>
      <c r="B148" s="1">
        <v>-0.342</v>
      </c>
      <c r="C148" s="1">
        <v>1.176</v>
      </c>
      <c r="D148" s="1">
        <v>0.347</v>
      </c>
      <c r="H148" s="1">
        <v>12.25</v>
      </c>
      <c r="I148" s="1">
        <v>-4.335</v>
      </c>
      <c r="J148" s="1">
        <v>-0.346</v>
      </c>
      <c r="K148" s="1">
        <v>1.172</v>
      </c>
      <c r="L148" s="1">
        <v>0.341</v>
      </c>
      <c r="O148" t="s">
        <v>256</v>
      </c>
    </row>
    <row r="149" spans="8:12">
      <c r="H149" s="1">
        <v>12.28</v>
      </c>
      <c r="I149" s="1">
        <v>-4.342</v>
      </c>
      <c r="J149" s="1">
        <v>-0.342</v>
      </c>
      <c r="K149" s="1">
        <v>1.176</v>
      </c>
      <c r="L149" s="1">
        <v>0.347</v>
      </c>
    </row>
  </sheetData>
  <pageMargins left="0.75" right="0.75" top="1" bottom="1" header="0.511805555555556" footer="0.511805555555556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W49"/>
  <sheetViews>
    <sheetView tabSelected="1" topLeftCell="H1" workbookViewId="0">
      <selection activeCell="M4" sqref="M4"/>
    </sheetView>
  </sheetViews>
  <sheetFormatPr defaultColWidth="9" defaultRowHeight="13.5"/>
  <cols>
    <col min="12" max="13" width="12.625"/>
    <col min="15" max="16" width="13.75"/>
    <col min="22" max="22" width="10.875" customWidth="1"/>
    <col min="23" max="24" width="12.625"/>
  </cols>
  <sheetData>
    <row r="1" spans="1:22">
      <c r="A1" s="1">
        <v>1.2</v>
      </c>
      <c r="B1" s="1">
        <v>-4.337</v>
      </c>
      <c r="C1" s="1">
        <v>-0.345</v>
      </c>
      <c r="D1" s="1">
        <v>0.34</v>
      </c>
      <c r="E1" s="1">
        <v>1.173</v>
      </c>
      <c r="F1"/>
      <c r="G1"/>
      <c r="H1"/>
      <c r="I1" t="s">
        <v>378</v>
      </c>
      <c r="J1" t="s">
        <v>379</v>
      </c>
      <c r="K1" t="s">
        <v>380</v>
      </c>
      <c r="L1" t="s">
        <v>381</v>
      </c>
      <c r="M1" t="s">
        <v>382</v>
      </c>
      <c r="N1" t="s">
        <v>383</v>
      </c>
      <c r="O1" t="s">
        <v>384</v>
      </c>
      <c r="P1" t="s">
        <v>385</v>
      </c>
      <c r="Q1"/>
      <c r="R1"/>
      <c r="S1"/>
      <c r="T1"/>
      <c r="U1" t="s">
        <v>386</v>
      </c>
      <c r="V1" t="s">
        <v>387</v>
      </c>
    </row>
    <row r="2" spans="1:23">
      <c r="A2" s="1">
        <v>1.4</v>
      </c>
      <c r="B2" s="1">
        <v>-4.339</v>
      </c>
      <c r="C2" s="1">
        <v>-0.342</v>
      </c>
      <c r="D2" s="1">
        <v>0.342</v>
      </c>
      <c r="E2" s="1">
        <v>1.172</v>
      </c>
      <c r="F2"/>
      <c r="G2"/>
      <c r="H2" s="1">
        <v>1.2</v>
      </c>
      <c r="I2" s="1">
        <v>-4.337</v>
      </c>
      <c r="J2" s="1">
        <v>-0.345</v>
      </c>
      <c r="K2" s="1">
        <v>1.173</v>
      </c>
      <c r="L2" s="1">
        <v>0.34</v>
      </c>
      <c r="M2" s="2">
        <f ca="1">0.339+RAND()*2*(L2-0.339)</f>
        <v>0.339324186580817</v>
      </c>
      <c r="N2" s="2">
        <v>0.34</v>
      </c>
      <c r="O2">
        <f ca="1">(M2-L2)*100%/L2</f>
        <v>-0.0019876865270101</v>
      </c>
      <c r="P2" s="3">
        <f>(N2-L2)/L2</f>
        <v>0</v>
      </c>
      <c r="S2">
        <v>0.339</v>
      </c>
      <c r="T2" s="1">
        <v>1.2</v>
      </c>
      <c r="U2">
        <v>0.34</v>
      </c>
      <c r="V2">
        <v>0.34</v>
      </c>
      <c r="W2">
        <f>(U2-V2)^2</f>
        <v>0</v>
      </c>
    </row>
    <row r="3" spans="1:23">
      <c r="A3" s="1">
        <v>1.6</v>
      </c>
      <c r="B3" s="1">
        <v>-4.342</v>
      </c>
      <c r="C3" s="1">
        <v>-0.347</v>
      </c>
      <c r="D3" s="1">
        <v>0.335</v>
      </c>
      <c r="E3" s="1">
        <v>1.176</v>
      </c>
      <c r="F3"/>
      <c r="G3"/>
      <c r="H3" s="1">
        <v>1.4</v>
      </c>
      <c r="I3" s="1">
        <v>-4.339</v>
      </c>
      <c r="J3" s="1">
        <v>-0.342</v>
      </c>
      <c r="K3" s="1">
        <v>1.172</v>
      </c>
      <c r="L3" s="1">
        <v>0.342</v>
      </c>
      <c r="M3" s="2">
        <f ca="1" t="shared" ref="M3:M48" si="0">0.339+RAND()*2*(L3-0.339)</f>
        <v>0.340118956319322</v>
      </c>
      <c r="N3" s="2">
        <v>0.342</v>
      </c>
      <c r="O3">
        <f ca="1" t="shared" ref="O3:O48" si="1">(M3-L3)*100%/L3</f>
        <v>-0.00550012772128114</v>
      </c>
      <c r="P3" s="3">
        <f t="shared" ref="P3:P48" si="2">(N3-L3)/L3</f>
        <v>0</v>
      </c>
      <c r="S3">
        <v>0.339</v>
      </c>
      <c r="T3" s="1">
        <v>1.4</v>
      </c>
      <c r="U3">
        <v>0.342</v>
      </c>
      <c r="V3">
        <v>0.342</v>
      </c>
      <c r="W3">
        <f t="shared" ref="W3:W48" si="3">(U3-V3)^2</f>
        <v>0</v>
      </c>
    </row>
    <row r="4" spans="1:23">
      <c r="A4" s="1">
        <v>1.8</v>
      </c>
      <c r="B4" s="1">
        <v>-4.34</v>
      </c>
      <c r="C4" s="1">
        <v>-0.34</v>
      </c>
      <c r="D4" s="1">
        <v>0.332</v>
      </c>
      <c r="E4" s="1">
        <v>1.169</v>
      </c>
      <c r="F4"/>
      <c r="G4"/>
      <c r="H4" s="1">
        <v>1.6</v>
      </c>
      <c r="I4" s="1">
        <v>-4.342</v>
      </c>
      <c r="J4" s="1">
        <v>-0.347</v>
      </c>
      <c r="K4" s="1">
        <v>1.176</v>
      </c>
      <c r="L4" s="1">
        <v>0.335</v>
      </c>
      <c r="M4" s="2">
        <f ca="1" t="shared" si="0"/>
        <v>0.333286026378276</v>
      </c>
      <c r="N4" s="2">
        <v>0.337</v>
      </c>
      <c r="O4">
        <f ca="1" t="shared" si="1"/>
        <v>-0.00511633916932583</v>
      </c>
      <c r="P4" s="3">
        <f t="shared" si="2"/>
        <v>0.00597014925373135</v>
      </c>
      <c r="S4">
        <v>0.339</v>
      </c>
      <c r="T4" s="1">
        <v>1.6</v>
      </c>
      <c r="U4">
        <v>0.335</v>
      </c>
      <c r="V4">
        <v>0.337</v>
      </c>
      <c r="W4">
        <f t="shared" si="3"/>
        <v>4.00000000000001e-6</v>
      </c>
    </row>
    <row r="5" spans="1:23">
      <c r="A5" s="1">
        <v>1.11</v>
      </c>
      <c r="B5" s="1">
        <v>-4.338</v>
      </c>
      <c r="C5" s="1">
        <v>-0.337</v>
      </c>
      <c r="D5" s="1">
        <v>0.347</v>
      </c>
      <c r="E5" s="1">
        <v>1.172</v>
      </c>
      <c r="F5"/>
      <c r="G5"/>
      <c r="H5" s="1">
        <v>1.8</v>
      </c>
      <c r="I5" s="1">
        <v>-4.34</v>
      </c>
      <c r="J5" s="1">
        <v>-0.34</v>
      </c>
      <c r="K5" s="1">
        <v>1.169</v>
      </c>
      <c r="L5" s="1">
        <v>0.332</v>
      </c>
      <c r="M5" s="2">
        <f ca="1" t="shared" si="0"/>
        <v>0.331342171913247</v>
      </c>
      <c r="N5" s="2">
        <v>0.332</v>
      </c>
      <c r="O5">
        <f ca="1" t="shared" si="1"/>
        <v>-0.00198140989985749</v>
      </c>
      <c r="P5" s="3">
        <f t="shared" si="2"/>
        <v>0</v>
      </c>
      <c r="S5">
        <v>0.339</v>
      </c>
      <c r="T5" s="1">
        <v>1.8</v>
      </c>
      <c r="U5">
        <v>0.332</v>
      </c>
      <c r="V5">
        <v>0.332</v>
      </c>
      <c r="W5">
        <f t="shared" si="3"/>
        <v>0</v>
      </c>
    </row>
    <row r="6" spans="1:23">
      <c r="A6" s="1">
        <v>1.13</v>
      </c>
      <c r="B6" s="1">
        <v>-4.337</v>
      </c>
      <c r="C6" s="1">
        <v>-0.332</v>
      </c>
      <c r="D6" s="1">
        <v>0.347</v>
      </c>
      <c r="E6" s="1">
        <v>1.175</v>
      </c>
      <c r="H6" s="1">
        <v>1.11</v>
      </c>
      <c r="I6" s="1">
        <v>-4.338</v>
      </c>
      <c r="J6" s="1">
        <v>-0.337</v>
      </c>
      <c r="K6" s="1">
        <v>1.172</v>
      </c>
      <c r="L6" s="1">
        <v>0.347</v>
      </c>
      <c r="M6" s="2">
        <f ca="1" t="shared" si="0"/>
        <v>0.341852751484797</v>
      </c>
      <c r="N6" s="2">
        <v>0.344</v>
      </c>
      <c r="O6">
        <f ca="1" t="shared" si="1"/>
        <v>-0.0148335692080787</v>
      </c>
      <c r="P6" s="3">
        <f t="shared" si="2"/>
        <v>-0.00864553314121038</v>
      </c>
      <c r="S6">
        <v>0.339</v>
      </c>
      <c r="T6" s="1">
        <v>1.11</v>
      </c>
      <c r="U6">
        <v>0.347</v>
      </c>
      <c r="V6">
        <v>0.344</v>
      </c>
      <c r="W6">
        <f t="shared" si="3"/>
        <v>9.00000000000002e-6</v>
      </c>
    </row>
    <row r="7" spans="1:23">
      <c r="A7" s="1">
        <v>1.15</v>
      </c>
      <c r="B7" s="1">
        <v>-4.33</v>
      </c>
      <c r="C7" s="1">
        <v>-0.351</v>
      </c>
      <c r="D7" s="1">
        <v>0.332</v>
      </c>
      <c r="E7" s="1">
        <v>1.174</v>
      </c>
      <c r="H7" s="1">
        <v>1.13</v>
      </c>
      <c r="I7" s="1">
        <v>-4.337</v>
      </c>
      <c r="J7" s="1">
        <v>-0.332</v>
      </c>
      <c r="K7" s="1">
        <v>1.175</v>
      </c>
      <c r="L7" s="1">
        <v>0.347</v>
      </c>
      <c r="M7" s="2">
        <f ca="1" t="shared" si="0"/>
        <v>0.341874700235378</v>
      </c>
      <c r="N7" s="2">
        <v>0.341</v>
      </c>
      <c r="O7">
        <f ca="1" t="shared" si="1"/>
        <v>-0.0147703163245594</v>
      </c>
      <c r="P7" s="3">
        <f t="shared" si="2"/>
        <v>-0.0172910662824206</v>
      </c>
      <c r="S7">
        <v>0.339</v>
      </c>
      <c r="T7" s="1">
        <v>1.13</v>
      </c>
      <c r="U7">
        <v>0.347</v>
      </c>
      <c r="V7">
        <v>0.341</v>
      </c>
      <c r="W7">
        <f t="shared" si="3"/>
        <v>3.59999999999994e-5</v>
      </c>
    </row>
    <row r="8" spans="1:23">
      <c r="A8" s="1">
        <v>1.18</v>
      </c>
      <c r="B8" s="1">
        <v>-4.332</v>
      </c>
      <c r="C8" s="1">
        <v>-0.343</v>
      </c>
      <c r="D8" s="1">
        <v>0.353</v>
      </c>
      <c r="E8" s="1">
        <v>1.163</v>
      </c>
      <c r="H8" s="1">
        <v>1.15</v>
      </c>
      <c r="I8" s="1">
        <v>-4.33</v>
      </c>
      <c r="J8" s="1">
        <v>-0.351</v>
      </c>
      <c r="K8" s="1">
        <v>1.174</v>
      </c>
      <c r="L8" s="1">
        <v>0.332</v>
      </c>
      <c r="M8" s="2">
        <f ca="1" t="shared" si="0"/>
        <v>0.338869753740395</v>
      </c>
      <c r="N8" s="2">
        <v>0.333</v>
      </c>
      <c r="O8">
        <f ca="1" t="shared" si="1"/>
        <v>0.020692029338539</v>
      </c>
      <c r="P8" s="3">
        <f t="shared" si="2"/>
        <v>0.00301204819277109</v>
      </c>
      <c r="S8">
        <v>0.339</v>
      </c>
      <c r="T8" s="1">
        <v>1.15</v>
      </c>
      <c r="U8">
        <v>0.332</v>
      </c>
      <c r="V8">
        <v>0.333</v>
      </c>
      <c r="W8">
        <f t="shared" si="3"/>
        <v>1e-6</v>
      </c>
    </row>
    <row r="9" spans="1:23">
      <c r="A9" s="1">
        <v>1.2</v>
      </c>
      <c r="B9" s="1">
        <v>-4.343</v>
      </c>
      <c r="C9" s="1">
        <v>-0.343</v>
      </c>
      <c r="D9" s="1">
        <v>0.339</v>
      </c>
      <c r="E9" s="1">
        <v>1.172</v>
      </c>
      <c r="H9" s="1">
        <v>1.18</v>
      </c>
      <c r="I9" s="1">
        <v>-4.332</v>
      </c>
      <c r="J9" s="1">
        <v>-0.343</v>
      </c>
      <c r="K9" s="1">
        <v>1.163</v>
      </c>
      <c r="L9" s="1">
        <v>0.353</v>
      </c>
      <c r="M9" s="2">
        <f ca="1" t="shared" si="0"/>
        <v>0.346227639609501</v>
      </c>
      <c r="N9" s="2">
        <v>0.343</v>
      </c>
      <c r="O9">
        <f ca="1" t="shared" si="1"/>
        <v>-0.0191851569135935</v>
      </c>
      <c r="P9" s="3">
        <f t="shared" si="2"/>
        <v>-0.0283286118980169</v>
      </c>
      <c r="S9">
        <v>0.339</v>
      </c>
      <c r="T9" s="1">
        <v>1.18</v>
      </c>
      <c r="U9">
        <v>0.353</v>
      </c>
      <c r="V9">
        <v>0.343</v>
      </c>
      <c r="W9">
        <f t="shared" si="3"/>
        <v>9.99999999999991e-5</v>
      </c>
    </row>
    <row r="10" spans="1:23">
      <c r="A10" s="1">
        <v>1.22</v>
      </c>
      <c r="B10" s="1">
        <v>-4.339</v>
      </c>
      <c r="C10" s="1">
        <v>-0.341</v>
      </c>
      <c r="D10" s="1">
        <v>0.342</v>
      </c>
      <c r="E10" s="1">
        <v>1.169</v>
      </c>
      <c r="H10" s="1">
        <v>1.2</v>
      </c>
      <c r="I10" s="1">
        <v>-4.343</v>
      </c>
      <c r="J10" s="1">
        <v>-0.343</v>
      </c>
      <c r="K10" s="1">
        <v>1.172</v>
      </c>
      <c r="L10" s="1">
        <v>0.339</v>
      </c>
      <c r="M10" s="2">
        <f ca="1" t="shared" si="0"/>
        <v>0.339</v>
      </c>
      <c r="N10" s="2">
        <v>0.339</v>
      </c>
      <c r="O10">
        <f ca="1" t="shared" si="1"/>
        <v>0</v>
      </c>
      <c r="P10" s="3">
        <f t="shared" si="2"/>
        <v>0</v>
      </c>
      <c r="S10">
        <v>0.339</v>
      </c>
      <c r="T10" s="1">
        <v>1.2</v>
      </c>
      <c r="U10">
        <v>0.339</v>
      </c>
      <c r="V10">
        <v>0.339</v>
      </c>
      <c r="W10">
        <f t="shared" si="3"/>
        <v>0</v>
      </c>
    </row>
    <row r="11" spans="1:23">
      <c r="A11" s="1">
        <v>1.25</v>
      </c>
      <c r="B11" s="1">
        <v>-4.341</v>
      </c>
      <c r="C11" s="1">
        <v>-0.349</v>
      </c>
      <c r="D11" s="1">
        <v>0.345</v>
      </c>
      <c r="E11" s="1">
        <v>1.167</v>
      </c>
      <c r="H11" s="1">
        <v>1.22</v>
      </c>
      <c r="I11" s="1">
        <v>-4.339</v>
      </c>
      <c r="J11" s="1">
        <v>-0.341</v>
      </c>
      <c r="K11" s="1">
        <v>1.169</v>
      </c>
      <c r="L11" s="1">
        <v>0.342</v>
      </c>
      <c r="M11" s="2">
        <f ca="1" t="shared" si="0"/>
        <v>0.340797592599779</v>
      </c>
      <c r="N11" s="2">
        <v>0.342</v>
      </c>
      <c r="O11">
        <f ca="1" t="shared" si="1"/>
        <v>-0.00351581111175872</v>
      </c>
      <c r="P11" s="3">
        <f t="shared" si="2"/>
        <v>0</v>
      </c>
      <c r="S11">
        <v>0.339</v>
      </c>
      <c r="T11" s="1">
        <v>1.22</v>
      </c>
      <c r="U11">
        <v>0.342</v>
      </c>
      <c r="V11">
        <v>0.342</v>
      </c>
      <c r="W11">
        <f t="shared" si="3"/>
        <v>0</v>
      </c>
    </row>
    <row r="12" spans="1:23">
      <c r="A12" s="1">
        <v>1.27</v>
      </c>
      <c r="B12" s="1">
        <v>-4.348</v>
      </c>
      <c r="C12" s="1">
        <v>-0.351</v>
      </c>
      <c r="D12" s="1">
        <v>0.343</v>
      </c>
      <c r="E12" s="1">
        <v>1.163</v>
      </c>
      <c r="H12" s="1">
        <v>1.25</v>
      </c>
      <c r="I12" s="1">
        <v>-4.341</v>
      </c>
      <c r="J12" s="1">
        <v>-0.349</v>
      </c>
      <c r="K12" s="1">
        <v>1.167</v>
      </c>
      <c r="L12" s="1">
        <v>0.345</v>
      </c>
      <c r="M12" s="2">
        <f ca="1" t="shared" si="0"/>
        <v>0.342873300362686</v>
      </c>
      <c r="N12" s="2">
        <v>0.34</v>
      </c>
      <c r="O12">
        <f ca="1" t="shared" si="1"/>
        <v>-0.00616434677482396</v>
      </c>
      <c r="P12" s="3">
        <f t="shared" si="2"/>
        <v>-0.0144927536231883</v>
      </c>
      <c r="S12">
        <v>0.339</v>
      </c>
      <c r="T12" s="1">
        <v>1.25</v>
      </c>
      <c r="U12">
        <v>0.345</v>
      </c>
      <c r="V12">
        <v>0.34</v>
      </c>
      <c r="W12">
        <f t="shared" si="3"/>
        <v>2.49999999999995e-5</v>
      </c>
    </row>
    <row r="13" spans="1:23">
      <c r="A13" s="1">
        <v>1.29</v>
      </c>
      <c r="B13" s="1">
        <v>-4.335</v>
      </c>
      <c r="C13" s="1">
        <v>-0.342</v>
      </c>
      <c r="D13" s="1">
        <v>0.334</v>
      </c>
      <c r="E13" s="1">
        <v>1.175</v>
      </c>
      <c r="H13" s="1">
        <v>1.27</v>
      </c>
      <c r="I13" s="1">
        <v>-4.348</v>
      </c>
      <c r="J13" s="1">
        <v>-0.351</v>
      </c>
      <c r="K13" s="1">
        <v>1.163</v>
      </c>
      <c r="L13" s="1">
        <v>0.343</v>
      </c>
      <c r="M13" s="2">
        <f ca="1" t="shared" si="0"/>
        <v>0.342095803403972</v>
      </c>
      <c r="N13" s="2">
        <v>0.341</v>
      </c>
      <c r="O13">
        <f ca="1" t="shared" si="1"/>
        <v>-0.0026361416793812</v>
      </c>
      <c r="P13" s="3">
        <f t="shared" si="2"/>
        <v>-0.00583090379008747</v>
      </c>
      <c r="S13">
        <v>0.339</v>
      </c>
      <c r="T13" s="1">
        <v>1.27</v>
      </c>
      <c r="U13">
        <v>0.343</v>
      </c>
      <c r="V13">
        <v>0.341</v>
      </c>
      <c r="W13">
        <f t="shared" si="3"/>
        <v>4.00000000000001e-6</v>
      </c>
    </row>
    <row r="14" spans="1:23">
      <c r="A14" s="1">
        <v>2.1</v>
      </c>
      <c r="B14" s="1">
        <v>-4.342</v>
      </c>
      <c r="C14" s="1">
        <v>-0.337</v>
      </c>
      <c r="D14" s="1">
        <v>0.327</v>
      </c>
      <c r="E14" s="1">
        <v>1.184</v>
      </c>
      <c r="H14" s="1">
        <v>1.29</v>
      </c>
      <c r="I14" s="1">
        <v>-4.335</v>
      </c>
      <c r="J14" s="1">
        <v>-0.342</v>
      </c>
      <c r="K14" s="1">
        <v>1.175</v>
      </c>
      <c r="L14" s="1">
        <v>0.334</v>
      </c>
      <c r="M14" s="2">
        <f ca="1" t="shared" si="0"/>
        <v>0.336079381427069</v>
      </c>
      <c r="N14" s="2">
        <v>0.337</v>
      </c>
      <c r="O14">
        <f ca="1" t="shared" si="1"/>
        <v>0.00622569289541595</v>
      </c>
      <c r="P14" s="3">
        <f t="shared" si="2"/>
        <v>0.00898203592814372</v>
      </c>
      <c r="S14">
        <v>0.339</v>
      </c>
      <c r="T14" s="1">
        <v>1.29</v>
      </c>
      <c r="U14">
        <v>0.334</v>
      </c>
      <c r="V14">
        <v>0.337</v>
      </c>
      <c r="W14">
        <f t="shared" si="3"/>
        <v>9.00000000000002e-6</v>
      </c>
    </row>
    <row r="15" spans="1:23">
      <c r="A15" s="1">
        <v>2.3</v>
      </c>
      <c r="B15" s="1">
        <v>-4.343</v>
      </c>
      <c r="C15" s="1">
        <v>-0.35</v>
      </c>
      <c r="D15" s="1">
        <v>0.341</v>
      </c>
      <c r="E15" s="1">
        <v>1.169</v>
      </c>
      <c r="H15" s="1">
        <v>2.1</v>
      </c>
      <c r="I15" s="1">
        <v>-4.342</v>
      </c>
      <c r="J15" s="1">
        <v>-0.337</v>
      </c>
      <c r="K15" s="1">
        <v>1.184</v>
      </c>
      <c r="L15" s="1">
        <v>0.327</v>
      </c>
      <c r="M15" s="2">
        <f ca="1" t="shared" si="0"/>
        <v>0.330057172740294</v>
      </c>
      <c r="N15" s="2">
        <v>0.328</v>
      </c>
      <c r="O15">
        <f ca="1" t="shared" si="1"/>
        <v>0.00934915211099028</v>
      </c>
      <c r="P15" s="3">
        <f t="shared" si="2"/>
        <v>0.00305810397553517</v>
      </c>
      <c r="S15">
        <v>0.339</v>
      </c>
      <c r="T15" s="1">
        <v>2.1</v>
      </c>
      <c r="U15">
        <v>0.327</v>
      </c>
      <c r="V15">
        <v>0.328</v>
      </c>
      <c r="W15">
        <f t="shared" si="3"/>
        <v>1e-6</v>
      </c>
    </row>
    <row r="16" spans="1:23">
      <c r="A16" s="1">
        <v>2.5</v>
      </c>
      <c r="B16" s="1">
        <v>-4.337</v>
      </c>
      <c r="C16" s="1">
        <v>-0.345</v>
      </c>
      <c r="D16" s="1">
        <v>0.338</v>
      </c>
      <c r="E16" s="1">
        <v>1.173</v>
      </c>
      <c r="H16" s="1">
        <v>2.3</v>
      </c>
      <c r="I16" s="1">
        <v>-4.343</v>
      </c>
      <c r="J16" s="1">
        <v>-0.35</v>
      </c>
      <c r="K16" s="1">
        <v>1.169</v>
      </c>
      <c r="L16" s="1">
        <v>0.341</v>
      </c>
      <c r="M16" s="2">
        <f ca="1" t="shared" si="0"/>
        <v>0.340152167625804</v>
      </c>
      <c r="N16" s="2">
        <v>0.341</v>
      </c>
      <c r="O16">
        <f ca="1" t="shared" si="1"/>
        <v>-0.00248631194778983</v>
      </c>
      <c r="P16" s="3">
        <f t="shared" si="2"/>
        <v>0</v>
      </c>
      <c r="S16">
        <v>0.339</v>
      </c>
      <c r="T16" s="1">
        <v>2.3</v>
      </c>
      <c r="U16">
        <v>0.341</v>
      </c>
      <c r="V16">
        <v>0.341</v>
      </c>
      <c r="W16">
        <f t="shared" si="3"/>
        <v>0</v>
      </c>
    </row>
    <row r="17" spans="1:23">
      <c r="A17" s="1">
        <v>2.8</v>
      </c>
      <c r="B17" s="1">
        <v>-4.342</v>
      </c>
      <c r="C17" s="1">
        <v>-0.347</v>
      </c>
      <c r="D17" s="1">
        <v>0.33</v>
      </c>
      <c r="E17" s="1">
        <v>1.184</v>
      </c>
      <c r="H17" s="1">
        <v>2.5</v>
      </c>
      <c r="I17" s="1">
        <v>-4.337</v>
      </c>
      <c r="J17" s="1">
        <v>-0.345</v>
      </c>
      <c r="K17" s="1">
        <v>1.173</v>
      </c>
      <c r="L17" s="1">
        <v>0.338</v>
      </c>
      <c r="M17" s="2">
        <f ca="1" t="shared" si="0"/>
        <v>0.338026082031712</v>
      </c>
      <c r="N17" s="2">
        <v>0.338</v>
      </c>
      <c r="O17">
        <f ca="1" t="shared" si="1"/>
        <v>7.71657742963647e-5</v>
      </c>
      <c r="P17" s="3">
        <f t="shared" si="2"/>
        <v>0</v>
      </c>
      <c r="S17">
        <v>0.339</v>
      </c>
      <c r="T17" s="1">
        <v>2.5</v>
      </c>
      <c r="U17">
        <v>0.338</v>
      </c>
      <c r="V17">
        <v>0.338</v>
      </c>
      <c r="W17">
        <f t="shared" si="3"/>
        <v>0</v>
      </c>
    </row>
    <row r="18" spans="1:23">
      <c r="A18" s="1">
        <v>2.17</v>
      </c>
      <c r="B18" s="1">
        <v>-4.335</v>
      </c>
      <c r="C18" s="1">
        <v>-0.351</v>
      </c>
      <c r="D18" s="1">
        <v>0.345</v>
      </c>
      <c r="E18" s="1">
        <v>1.158</v>
      </c>
      <c r="H18" s="1">
        <v>2.8</v>
      </c>
      <c r="I18" s="1">
        <v>-4.342</v>
      </c>
      <c r="J18" s="1">
        <v>-0.347</v>
      </c>
      <c r="K18" s="1">
        <v>1.184</v>
      </c>
      <c r="L18" s="1">
        <v>0.33</v>
      </c>
      <c r="M18" s="2">
        <f ca="1" t="shared" si="0"/>
        <v>0.330601775421144</v>
      </c>
      <c r="N18" s="2">
        <v>0.337</v>
      </c>
      <c r="O18">
        <f ca="1" t="shared" si="1"/>
        <v>0.00182356188225499</v>
      </c>
      <c r="P18" s="3">
        <f t="shared" si="2"/>
        <v>0.0212121212121212</v>
      </c>
      <c r="S18">
        <v>0.339</v>
      </c>
      <c r="T18" s="1">
        <v>2.8</v>
      </c>
      <c r="U18">
        <v>0.33</v>
      </c>
      <c r="V18">
        <v>0.337</v>
      </c>
      <c r="W18">
        <f t="shared" si="3"/>
        <v>4.90000000000001e-5</v>
      </c>
    </row>
    <row r="19" spans="1:23">
      <c r="A19" s="1">
        <v>2.19</v>
      </c>
      <c r="B19" s="1">
        <v>-4.332</v>
      </c>
      <c r="C19" s="1">
        <v>-0.346</v>
      </c>
      <c r="D19" s="1">
        <v>0.336</v>
      </c>
      <c r="E19" s="1">
        <v>1.167</v>
      </c>
      <c r="H19" s="1">
        <v>2.17</v>
      </c>
      <c r="I19" s="1">
        <v>-4.335</v>
      </c>
      <c r="J19" s="1">
        <v>-0.351</v>
      </c>
      <c r="K19" s="1">
        <v>1.158</v>
      </c>
      <c r="L19" s="1">
        <v>0.345</v>
      </c>
      <c r="M19" s="2">
        <f ca="1" t="shared" si="0"/>
        <v>0.341065830209462</v>
      </c>
      <c r="N19" s="2">
        <v>0.341</v>
      </c>
      <c r="O19">
        <f ca="1" t="shared" si="1"/>
        <v>-0.0114033906972102</v>
      </c>
      <c r="P19" s="3">
        <f t="shared" si="2"/>
        <v>-0.0115942028985506</v>
      </c>
      <c r="S19">
        <v>0.339</v>
      </c>
      <c r="T19" s="1">
        <v>2.17</v>
      </c>
      <c r="U19">
        <v>0.345</v>
      </c>
      <c r="V19">
        <v>0.341</v>
      </c>
      <c r="W19">
        <f t="shared" si="3"/>
        <v>1.59999999999996e-5</v>
      </c>
    </row>
    <row r="20" spans="1:23">
      <c r="A20" s="1">
        <v>2.22</v>
      </c>
      <c r="B20" s="1">
        <v>-4.343</v>
      </c>
      <c r="C20" s="1">
        <v>-0.337</v>
      </c>
      <c r="D20" s="1">
        <v>0.342</v>
      </c>
      <c r="E20" s="1">
        <v>1.163</v>
      </c>
      <c r="H20" s="1">
        <v>2.19</v>
      </c>
      <c r="I20" s="1">
        <v>-4.332</v>
      </c>
      <c r="J20" s="1">
        <v>-0.346</v>
      </c>
      <c r="K20" s="1">
        <v>1.167</v>
      </c>
      <c r="L20" s="1">
        <v>0.336</v>
      </c>
      <c r="M20" s="2">
        <f ca="1" t="shared" si="0"/>
        <v>0.337777186693147</v>
      </c>
      <c r="N20" s="2">
        <v>0.337</v>
      </c>
      <c r="O20">
        <f ca="1" t="shared" si="1"/>
        <v>0.00528924611055679</v>
      </c>
      <c r="P20" s="3">
        <f t="shared" si="2"/>
        <v>0.00297619047619048</v>
      </c>
      <c r="S20">
        <v>0.339</v>
      </c>
      <c r="T20" s="1">
        <v>2.19</v>
      </c>
      <c r="U20">
        <v>0.336</v>
      </c>
      <c r="V20">
        <v>0.337</v>
      </c>
      <c r="W20">
        <f t="shared" si="3"/>
        <v>1e-6</v>
      </c>
    </row>
    <row r="21" spans="1:23">
      <c r="A21" s="1">
        <v>2.24</v>
      </c>
      <c r="B21" s="1">
        <v>-4.341</v>
      </c>
      <c r="C21" s="1">
        <v>-0.347</v>
      </c>
      <c r="D21" s="1">
        <v>0.338</v>
      </c>
      <c r="E21" s="1">
        <v>1.167</v>
      </c>
      <c r="H21" s="1">
        <v>2.22</v>
      </c>
      <c r="I21" s="1">
        <v>-4.343</v>
      </c>
      <c r="J21" s="1">
        <v>-0.337</v>
      </c>
      <c r="K21" s="1">
        <v>1.163</v>
      </c>
      <c r="L21" s="1">
        <v>0.342</v>
      </c>
      <c r="M21" s="2">
        <f ca="1" t="shared" si="0"/>
        <v>0.344908545714979</v>
      </c>
      <c r="N21" s="2">
        <v>0.339</v>
      </c>
      <c r="O21">
        <f ca="1" t="shared" si="1"/>
        <v>0.00850451963444267</v>
      </c>
      <c r="P21" s="3">
        <f t="shared" si="2"/>
        <v>-0.00877192982456141</v>
      </c>
      <c r="S21">
        <v>0.339</v>
      </c>
      <c r="T21" s="1">
        <v>2.22</v>
      </c>
      <c r="U21">
        <v>0.342</v>
      </c>
      <c r="V21">
        <v>0.339</v>
      </c>
      <c r="W21">
        <f t="shared" si="3"/>
        <v>9.00000000000002e-6</v>
      </c>
    </row>
    <row r="22" spans="1:23">
      <c r="A22" s="1">
        <v>2.26</v>
      </c>
      <c r="B22" s="1">
        <v>-4.328</v>
      </c>
      <c r="C22" s="1">
        <v>-0.339</v>
      </c>
      <c r="D22" s="1">
        <v>0.342</v>
      </c>
      <c r="E22" s="1">
        <v>1.164</v>
      </c>
      <c r="H22" s="1">
        <v>2.24</v>
      </c>
      <c r="I22" s="1">
        <v>-4.341</v>
      </c>
      <c r="J22" s="1">
        <v>-0.347</v>
      </c>
      <c r="K22" s="1">
        <v>1.167</v>
      </c>
      <c r="L22" s="1">
        <v>0.338</v>
      </c>
      <c r="M22" s="2">
        <f ca="1" t="shared" si="0"/>
        <v>0.338342974306029</v>
      </c>
      <c r="N22" s="2">
        <v>0.339</v>
      </c>
      <c r="O22">
        <f ca="1" t="shared" si="1"/>
        <v>0.00101471688174335</v>
      </c>
      <c r="P22" s="3">
        <f t="shared" si="2"/>
        <v>0.00295857988165681</v>
      </c>
      <c r="S22">
        <v>0.339</v>
      </c>
      <c r="T22" s="1">
        <v>2.24</v>
      </c>
      <c r="U22">
        <v>0.338</v>
      </c>
      <c r="V22">
        <v>0.339</v>
      </c>
      <c r="W22">
        <f t="shared" si="3"/>
        <v>1e-6</v>
      </c>
    </row>
    <row r="23" spans="1:23">
      <c r="A23" s="1">
        <v>3.1</v>
      </c>
      <c r="B23" s="1">
        <v>-4.339</v>
      </c>
      <c r="C23" s="1">
        <v>-0.354</v>
      </c>
      <c r="D23" s="1">
        <v>0.345</v>
      </c>
      <c r="E23" s="1">
        <v>1.161</v>
      </c>
      <c r="H23" s="1">
        <v>2.26</v>
      </c>
      <c r="I23" s="1">
        <v>-4.328</v>
      </c>
      <c r="J23" s="1">
        <v>-0.339</v>
      </c>
      <c r="K23" s="1">
        <v>1.164</v>
      </c>
      <c r="L23" s="1">
        <v>0.342</v>
      </c>
      <c r="M23" s="2">
        <f ca="1" t="shared" si="0"/>
        <v>0.339348828950892</v>
      </c>
      <c r="N23" s="2">
        <v>0.339</v>
      </c>
      <c r="O23">
        <f ca="1" t="shared" si="1"/>
        <v>-0.00775196213189588</v>
      </c>
      <c r="P23" s="3">
        <f t="shared" si="2"/>
        <v>-0.00877192982456141</v>
      </c>
      <c r="S23">
        <v>0.339</v>
      </c>
      <c r="T23" s="1">
        <v>2.26</v>
      </c>
      <c r="U23">
        <v>0.342</v>
      </c>
      <c r="V23">
        <v>0.339</v>
      </c>
      <c r="W23">
        <f t="shared" si="3"/>
        <v>9.00000000000002e-6</v>
      </c>
    </row>
    <row r="24" spans="1:23">
      <c r="A24" s="1">
        <v>3.3</v>
      </c>
      <c r="B24" s="1">
        <v>-4.337</v>
      </c>
      <c r="C24" s="1">
        <v>-0.338</v>
      </c>
      <c r="D24" s="1">
        <v>0.335</v>
      </c>
      <c r="E24" s="1">
        <v>1.171</v>
      </c>
      <c r="H24" s="1">
        <v>3.1</v>
      </c>
      <c r="I24" s="1">
        <v>-4.339</v>
      </c>
      <c r="J24" s="1">
        <v>-0.354</v>
      </c>
      <c r="K24" s="1">
        <v>1.161</v>
      </c>
      <c r="L24" s="1">
        <v>0.345</v>
      </c>
      <c r="M24" s="2">
        <f ca="1" t="shared" si="0"/>
        <v>0.344253516896075</v>
      </c>
      <c r="N24" s="2">
        <v>0.344</v>
      </c>
      <c r="O24">
        <f ca="1" t="shared" si="1"/>
        <v>-0.00216371914181208</v>
      </c>
      <c r="P24" s="3">
        <f t="shared" si="2"/>
        <v>-0.00289855072463768</v>
      </c>
      <c r="S24">
        <v>0.339</v>
      </c>
      <c r="T24" s="1">
        <v>3.1</v>
      </c>
      <c r="U24">
        <v>0.345</v>
      </c>
      <c r="V24">
        <v>0.344</v>
      </c>
      <c r="W24">
        <f t="shared" si="3"/>
        <v>1e-6</v>
      </c>
    </row>
    <row r="25" spans="1:23">
      <c r="A25" s="1">
        <v>3.5</v>
      </c>
      <c r="B25" s="1">
        <v>-4.33</v>
      </c>
      <c r="C25" s="1">
        <v>-0.33</v>
      </c>
      <c r="D25" s="1">
        <v>0.328</v>
      </c>
      <c r="E25" s="1">
        <v>1.179</v>
      </c>
      <c r="H25" s="1">
        <v>3.3</v>
      </c>
      <c r="I25" s="1">
        <v>-4.337</v>
      </c>
      <c r="J25" s="1">
        <v>-0.338</v>
      </c>
      <c r="K25" s="1">
        <v>1.171</v>
      </c>
      <c r="L25" s="1">
        <v>0.335</v>
      </c>
      <c r="M25" s="2">
        <f ca="1" t="shared" si="0"/>
        <v>0.338124768429368</v>
      </c>
      <c r="N25" s="2">
        <v>0.337</v>
      </c>
      <c r="O25">
        <f ca="1" t="shared" si="1"/>
        <v>0.00932766695333826</v>
      </c>
      <c r="P25" s="3">
        <f t="shared" si="2"/>
        <v>0.00597014925373135</v>
      </c>
      <c r="S25">
        <v>0.339</v>
      </c>
      <c r="T25" s="1">
        <v>3.3</v>
      </c>
      <c r="U25">
        <v>0.335</v>
      </c>
      <c r="V25">
        <v>0.337</v>
      </c>
      <c r="W25">
        <f t="shared" si="3"/>
        <v>4.00000000000001e-6</v>
      </c>
    </row>
    <row r="26" spans="1:23">
      <c r="A26" s="1">
        <v>3.8</v>
      </c>
      <c r="B26" s="1">
        <v>-4.345</v>
      </c>
      <c r="C26" s="1">
        <v>-0.339</v>
      </c>
      <c r="D26" s="1">
        <v>0.337</v>
      </c>
      <c r="E26" s="1">
        <v>1.179</v>
      </c>
      <c r="H26" s="1">
        <v>3.5</v>
      </c>
      <c r="I26" s="1">
        <v>-4.33</v>
      </c>
      <c r="J26" s="1">
        <v>-0.33</v>
      </c>
      <c r="K26" s="1">
        <v>1.179</v>
      </c>
      <c r="L26" s="1">
        <v>0.328</v>
      </c>
      <c r="M26" s="2">
        <f ca="1" t="shared" si="0"/>
        <v>0.320004332511029</v>
      </c>
      <c r="N26" s="2">
        <v>0.337</v>
      </c>
      <c r="O26">
        <f ca="1" t="shared" si="1"/>
        <v>-0.0243770350273498</v>
      </c>
      <c r="P26" s="3">
        <f t="shared" si="2"/>
        <v>0.0274390243902439</v>
      </c>
      <c r="S26">
        <v>0.339</v>
      </c>
      <c r="T26" s="1">
        <v>3.5</v>
      </c>
      <c r="U26">
        <v>0.328</v>
      </c>
      <c r="V26">
        <v>0.337</v>
      </c>
      <c r="W26">
        <f t="shared" si="3"/>
        <v>8.10000000000001e-5</v>
      </c>
    </row>
    <row r="27" spans="1:23">
      <c r="A27" s="1">
        <v>3.1</v>
      </c>
      <c r="B27" s="1">
        <v>-4.329</v>
      </c>
      <c r="C27" s="1">
        <v>-0.35</v>
      </c>
      <c r="D27" s="1">
        <v>0.335</v>
      </c>
      <c r="E27" s="1">
        <v>1.162</v>
      </c>
      <c r="H27" s="1">
        <v>3.8</v>
      </c>
      <c r="I27" s="1">
        <v>-4.345</v>
      </c>
      <c r="J27" s="1">
        <v>-0.339</v>
      </c>
      <c r="K27" s="1">
        <v>1.179</v>
      </c>
      <c r="L27" s="1">
        <v>0.337</v>
      </c>
      <c r="M27" s="2">
        <f ca="1" t="shared" si="0"/>
        <v>0.335771751906516</v>
      </c>
      <c r="N27" s="2">
        <v>0.338</v>
      </c>
      <c r="O27">
        <f ca="1" t="shared" si="1"/>
        <v>-0.00364465309639231</v>
      </c>
      <c r="P27" s="3">
        <f t="shared" si="2"/>
        <v>0.00296735905044511</v>
      </c>
      <c r="S27">
        <v>0.339</v>
      </c>
      <c r="T27" s="1">
        <v>3.8</v>
      </c>
      <c r="U27">
        <v>0.337</v>
      </c>
      <c r="V27">
        <v>0.338</v>
      </c>
      <c r="W27">
        <f t="shared" si="3"/>
        <v>1e-6</v>
      </c>
    </row>
    <row r="28" spans="1:23">
      <c r="A28" s="1">
        <v>3.12</v>
      </c>
      <c r="B28" s="1">
        <v>-4.332</v>
      </c>
      <c r="C28" s="1">
        <v>-0.346</v>
      </c>
      <c r="D28" s="1">
        <v>0.341</v>
      </c>
      <c r="E28" s="1">
        <v>1.167</v>
      </c>
      <c r="H28" s="1">
        <v>3.1</v>
      </c>
      <c r="I28" s="1">
        <v>-4.329</v>
      </c>
      <c r="J28" s="1">
        <v>-0.35</v>
      </c>
      <c r="K28" s="1">
        <v>1.162</v>
      </c>
      <c r="L28" s="1">
        <v>0.335</v>
      </c>
      <c r="M28" s="2">
        <f ca="1" t="shared" si="0"/>
        <v>0.336016884900323</v>
      </c>
      <c r="N28" s="2">
        <v>0.337</v>
      </c>
      <c r="O28">
        <f ca="1" t="shared" si="1"/>
        <v>0.00303547731439828</v>
      </c>
      <c r="P28" s="3">
        <f t="shared" si="2"/>
        <v>0.00597014925373135</v>
      </c>
      <c r="S28">
        <v>0.339</v>
      </c>
      <c r="T28" s="1">
        <v>3.1</v>
      </c>
      <c r="U28">
        <v>0.335</v>
      </c>
      <c r="V28">
        <v>0.337</v>
      </c>
      <c r="W28">
        <f t="shared" si="3"/>
        <v>4.00000000000001e-6</v>
      </c>
    </row>
    <row r="29" spans="1:23">
      <c r="A29" s="1">
        <v>3.15</v>
      </c>
      <c r="B29" s="1">
        <v>-4.337</v>
      </c>
      <c r="C29" s="1">
        <v>-0.345</v>
      </c>
      <c r="D29" s="1">
        <v>0.338</v>
      </c>
      <c r="E29" s="1">
        <v>1.162</v>
      </c>
      <c r="H29" s="1">
        <v>3.12</v>
      </c>
      <c r="I29" s="1">
        <v>-4.332</v>
      </c>
      <c r="J29" s="1">
        <v>-0.346</v>
      </c>
      <c r="K29" s="1">
        <v>1.167</v>
      </c>
      <c r="L29" s="1">
        <v>0.341</v>
      </c>
      <c r="M29" s="2">
        <f ca="1" t="shared" si="0"/>
        <v>0.340649073727704</v>
      </c>
      <c r="N29" s="2">
        <v>0.339</v>
      </c>
      <c r="O29">
        <f ca="1" t="shared" si="1"/>
        <v>-0.0010291093029221</v>
      </c>
      <c r="P29" s="3">
        <f t="shared" si="2"/>
        <v>-0.00586510263929619</v>
      </c>
      <c r="S29">
        <v>0.339</v>
      </c>
      <c r="T29" s="1">
        <v>3.12</v>
      </c>
      <c r="U29">
        <v>0.341</v>
      </c>
      <c r="V29">
        <v>0.339</v>
      </c>
      <c r="W29">
        <f t="shared" si="3"/>
        <v>4.00000000000001e-6</v>
      </c>
    </row>
    <row r="30" spans="1:23">
      <c r="A30" s="1">
        <v>3.17</v>
      </c>
      <c r="B30" s="1">
        <v>-4.331</v>
      </c>
      <c r="C30" s="1">
        <v>-0.345</v>
      </c>
      <c r="D30" s="1">
        <v>0.342</v>
      </c>
      <c r="E30" s="1">
        <v>1.176</v>
      </c>
      <c r="H30" s="1">
        <v>3.15</v>
      </c>
      <c r="I30" s="1">
        <v>-4.337</v>
      </c>
      <c r="J30" s="1">
        <v>-0.345</v>
      </c>
      <c r="K30" s="1">
        <v>1.162</v>
      </c>
      <c r="L30" s="1">
        <v>0.338</v>
      </c>
      <c r="M30" s="2">
        <f ca="1" t="shared" si="0"/>
        <v>0.337968586707322</v>
      </c>
      <c r="N30" s="2">
        <v>0.339</v>
      </c>
      <c r="O30">
        <f ca="1" t="shared" si="1"/>
        <v>-9.29387357346336e-5</v>
      </c>
      <c r="P30" s="3">
        <f t="shared" si="2"/>
        <v>0.00295857988165681</v>
      </c>
      <c r="S30">
        <v>0.339</v>
      </c>
      <c r="T30" s="1">
        <v>3.15</v>
      </c>
      <c r="U30">
        <v>0.338</v>
      </c>
      <c r="V30">
        <v>0.339</v>
      </c>
      <c r="W30">
        <f t="shared" si="3"/>
        <v>1e-6</v>
      </c>
    </row>
    <row r="31" spans="1:23">
      <c r="A31" s="1">
        <v>3.19</v>
      </c>
      <c r="B31" s="1">
        <v>-4.335</v>
      </c>
      <c r="C31" s="1">
        <v>-0.351</v>
      </c>
      <c r="D31" s="1">
        <v>0.343</v>
      </c>
      <c r="E31" s="1">
        <v>1.172</v>
      </c>
      <c r="H31" s="1">
        <v>3.17</v>
      </c>
      <c r="I31" s="1">
        <v>-4.331</v>
      </c>
      <c r="J31" s="1">
        <v>-0.345</v>
      </c>
      <c r="K31" s="1">
        <v>1.176</v>
      </c>
      <c r="L31" s="1">
        <v>0.342</v>
      </c>
      <c r="M31" s="2">
        <f ca="1" t="shared" si="0"/>
        <v>0.344194655454756</v>
      </c>
      <c r="N31" s="2">
        <v>0.341</v>
      </c>
      <c r="O31">
        <f ca="1" t="shared" si="1"/>
        <v>0.00641712121273814</v>
      </c>
      <c r="P31" s="3">
        <f t="shared" si="2"/>
        <v>-0.00292397660818714</v>
      </c>
      <c r="S31">
        <v>0.339</v>
      </c>
      <c r="T31" s="1">
        <v>3.17</v>
      </c>
      <c r="U31">
        <v>0.342</v>
      </c>
      <c r="V31">
        <v>0.341</v>
      </c>
      <c r="W31">
        <f t="shared" si="3"/>
        <v>1e-6</v>
      </c>
    </row>
    <row r="32" spans="1:23">
      <c r="A32" s="1">
        <v>3.22</v>
      </c>
      <c r="B32" s="1">
        <v>-4.336</v>
      </c>
      <c r="C32" s="1">
        <v>-0.348</v>
      </c>
      <c r="D32" s="1">
        <v>0.349</v>
      </c>
      <c r="E32" s="1">
        <v>1.167</v>
      </c>
      <c r="H32" s="1">
        <v>3.19</v>
      </c>
      <c r="I32" s="1">
        <v>-4.335</v>
      </c>
      <c r="J32" s="1">
        <v>-0.351</v>
      </c>
      <c r="K32" s="1">
        <v>1.172</v>
      </c>
      <c r="L32" s="1">
        <v>0.343</v>
      </c>
      <c r="M32" s="2">
        <f ca="1" t="shared" si="0"/>
        <v>0.339262738242073</v>
      </c>
      <c r="N32" s="2">
        <v>0.341</v>
      </c>
      <c r="O32">
        <f ca="1" t="shared" si="1"/>
        <v>-0.0108958068744242</v>
      </c>
      <c r="P32" s="3">
        <f t="shared" si="2"/>
        <v>-0.00583090379008747</v>
      </c>
      <c r="S32">
        <v>0.339</v>
      </c>
      <c r="T32" s="1">
        <v>3.19</v>
      </c>
      <c r="U32">
        <v>0.343</v>
      </c>
      <c r="V32">
        <v>0.341</v>
      </c>
      <c r="W32">
        <f t="shared" si="3"/>
        <v>4.00000000000001e-6</v>
      </c>
    </row>
    <row r="33" spans="1:23">
      <c r="A33" s="1">
        <v>3.24</v>
      </c>
      <c r="B33" s="1">
        <v>-4.334</v>
      </c>
      <c r="C33" s="1">
        <v>-0.347</v>
      </c>
      <c r="D33" s="1">
        <v>0.34</v>
      </c>
      <c r="E33" s="1">
        <v>1.169</v>
      </c>
      <c r="H33" s="1">
        <v>3.22</v>
      </c>
      <c r="I33" s="1">
        <v>-4.336</v>
      </c>
      <c r="J33" s="1">
        <v>-0.348</v>
      </c>
      <c r="K33" s="1">
        <v>1.167</v>
      </c>
      <c r="L33" s="1">
        <v>0.349</v>
      </c>
      <c r="M33" s="2">
        <f ca="1" t="shared" si="0"/>
        <v>0.348882827782625</v>
      </c>
      <c r="N33" s="2">
        <v>0.348</v>
      </c>
      <c r="O33">
        <f ca="1" t="shared" si="1"/>
        <v>-0.000335737012537105</v>
      </c>
      <c r="P33" s="3">
        <f t="shared" si="2"/>
        <v>-0.00286532951289399</v>
      </c>
      <c r="S33">
        <v>0.339</v>
      </c>
      <c r="T33" s="1">
        <v>3.22</v>
      </c>
      <c r="U33">
        <v>0.349</v>
      </c>
      <c r="V33">
        <v>0.348</v>
      </c>
      <c r="W33">
        <f t="shared" si="3"/>
        <v>1e-6</v>
      </c>
    </row>
    <row r="34" spans="1:23">
      <c r="A34" s="1">
        <v>3.26</v>
      </c>
      <c r="B34" s="1">
        <v>-4.327</v>
      </c>
      <c r="C34" s="1">
        <v>-0.339</v>
      </c>
      <c r="D34" s="1">
        <v>0.337</v>
      </c>
      <c r="E34" s="1">
        <v>1.162</v>
      </c>
      <c r="H34" s="1">
        <v>3.24</v>
      </c>
      <c r="I34" s="1">
        <v>-4.334</v>
      </c>
      <c r="J34" s="1">
        <v>-0.347</v>
      </c>
      <c r="K34" s="1">
        <v>1.169</v>
      </c>
      <c r="L34" s="1">
        <v>0.34</v>
      </c>
      <c r="M34" s="2">
        <f ca="1" t="shared" si="0"/>
        <v>0.340925661432423</v>
      </c>
      <c r="N34" s="2">
        <v>0.339</v>
      </c>
      <c r="O34">
        <f ca="1" t="shared" si="1"/>
        <v>0.00272253362477421</v>
      </c>
      <c r="P34" s="3">
        <f t="shared" si="2"/>
        <v>-0.00294117647058824</v>
      </c>
      <c r="S34">
        <v>0.339</v>
      </c>
      <c r="T34" s="1">
        <v>3.24</v>
      </c>
      <c r="U34">
        <v>0.34</v>
      </c>
      <c r="V34">
        <v>0.339</v>
      </c>
      <c r="W34">
        <f t="shared" si="3"/>
        <v>1e-6</v>
      </c>
    </row>
    <row r="35" spans="1:23">
      <c r="A35" s="1">
        <v>3.29</v>
      </c>
      <c r="B35" s="1">
        <v>-4.333</v>
      </c>
      <c r="C35" s="1">
        <v>-0.354</v>
      </c>
      <c r="D35" s="1">
        <v>0.346</v>
      </c>
      <c r="E35" s="1">
        <v>1.171</v>
      </c>
      <c r="H35" s="1">
        <v>3.26</v>
      </c>
      <c r="I35" s="1">
        <v>-4.327</v>
      </c>
      <c r="J35" s="1">
        <v>-0.339</v>
      </c>
      <c r="K35" s="1">
        <v>1.162</v>
      </c>
      <c r="L35" s="1">
        <v>0.337</v>
      </c>
      <c r="M35" s="2">
        <f ca="1" t="shared" si="0"/>
        <v>0.338610511494502</v>
      </c>
      <c r="N35" s="2">
        <v>0.338</v>
      </c>
      <c r="O35">
        <f ca="1" t="shared" si="1"/>
        <v>0.00477896585905746</v>
      </c>
      <c r="P35" s="3">
        <f t="shared" si="2"/>
        <v>0.00296735905044511</v>
      </c>
      <c r="S35">
        <v>0.339</v>
      </c>
      <c r="T35" s="1">
        <v>3.26</v>
      </c>
      <c r="U35">
        <v>0.337</v>
      </c>
      <c r="V35">
        <v>0.338</v>
      </c>
      <c r="W35">
        <f t="shared" si="3"/>
        <v>1e-6</v>
      </c>
    </row>
    <row r="36" spans="1:23">
      <c r="A36" s="1">
        <v>3.31</v>
      </c>
      <c r="B36" s="1">
        <v>-4.342</v>
      </c>
      <c r="C36" s="1">
        <v>-0.341</v>
      </c>
      <c r="D36" s="1">
        <v>0.341</v>
      </c>
      <c r="E36" s="1">
        <v>1.17</v>
      </c>
      <c r="H36" s="1">
        <v>3.29</v>
      </c>
      <c r="I36" s="1">
        <v>-4.333</v>
      </c>
      <c r="J36" s="1">
        <v>-0.354</v>
      </c>
      <c r="K36" s="1">
        <v>1.171</v>
      </c>
      <c r="L36" s="1">
        <v>0.346</v>
      </c>
      <c r="M36" s="2">
        <f ca="1" t="shared" si="0"/>
        <v>0.349999051200371</v>
      </c>
      <c r="N36" s="2">
        <v>0.341</v>
      </c>
      <c r="O36">
        <f ca="1" t="shared" si="1"/>
        <v>0.0115579514461587</v>
      </c>
      <c r="P36" s="3">
        <f t="shared" si="2"/>
        <v>-0.014450867052023</v>
      </c>
      <c r="S36">
        <v>0.339</v>
      </c>
      <c r="T36" s="1">
        <v>3.29</v>
      </c>
      <c r="U36">
        <v>0.346</v>
      </c>
      <c r="V36">
        <v>0.341</v>
      </c>
      <c r="W36">
        <f t="shared" si="3"/>
        <v>2.49999999999995e-5</v>
      </c>
    </row>
    <row r="37" spans="1:23">
      <c r="A37" s="1">
        <v>4.2</v>
      </c>
      <c r="B37" s="1">
        <v>-4.34</v>
      </c>
      <c r="C37" s="1">
        <v>-0.34</v>
      </c>
      <c r="D37" s="1">
        <v>0.346</v>
      </c>
      <c r="E37" s="1">
        <v>1.167</v>
      </c>
      <c r="H37" s="1">
        <v>3.31</v>
      </c>
      <c r="I37" s="1">
        <v>-4.342</v>
      </c>
      <c r="J37" s="1">
        <v>-0.341</v>
      </c>
      <c r="K37" s="1">
        <v>1.17</v>
      </c>
      <c r="L37" s="1">
        <v>0.341</v>
      </c>
      <c r="M37" s="2">
        <f ca="1" t="shared" si="0"/>
        <v>0.342624431755208</v>
      </c>
      <c r="N37" s="2">
        <v>0.341</v>
      </c>
      <c r="O37">
        <f ca="1" t="shared" si="1"/>
        <v>0.0047637294874146</v>
      </c>
      <c r="P37" s="3">
        <f t="shared" si="2"/>
        <v>0</v>
      </c>
      <c r="S37">
        <v>0.339</v>
      </c>
      <c r="T37" s="1">
        <v>3.31</v>
      </c>
      <c r="U37">
        <v>0.341</v>
      </c>
      <c r="V37">
        <v>0.341</v>
      </c>
      <c r="W37">
        <f t="shared" si="3"/>
        <v>0</v>
      </c>
    </row>
    <row r="38" spans="1:23">
      <c r="A38" s="1">
        <v>4.5</v>
      </c>
      <c r="B38" s="1">
        <v>-4.344</v>
      </c>
      <c r="C38" s="1">
        <v>-0.347</v>
      </c>
      <c r="D38" s="1">
        <v>0.347</v>
      </c>
      <c r="E38" s="1">
        <v>1.165</v>
      </c>
      <c r="H38" s="1">
        <v>4.2</v>
      </c>
      <c r="I38" s="1">
        <v>-4.34</v>
      </c>
      <c r="J38" s="1">
        <v>-0.34</v>
      </c>
      <c r="K38" s="1">
        <v>1.167</v>
      </c>
      <c r="L38" s="1">
        <v>0.346</v>
      </c>
      <c r="M38" s="2">
        <f ca="1" t="shared" si="0"/>
        <v>0.340488205825909</v>
      </c>
      <c r="N38" s="2">
        <v>0.344</v>
      </c>
      <c r="O38">
        <f ca="1" t="shared" si="1"/>
        <v>-0.0159300409655817</v>
      </c>
      <c r="P38" s="3">
        <f t="shared" si="2"/>
        <v>-0.00578034682080925</v>
      </c>
      <c r="S38">
        <v>0.339</v>
      </c>
      <c r="T38" s="1">
        <v>4.2</v>
      </c>
      <c r="U38">
        <v>0.346</v>
      </c>
      <c r="V38">
        <v>0.344</v>
      </c>
      <c r="W38">
        <f t="shared" si="3"/>
        <v>4.00000000000001e-6</v>
      </c>
    </row>
    <row r="39" spans="1:23">
      <c r="A39" s="1">
        <v>4.7</v>
      </c>
      <c r="B39" s="1">
        <v>-4.338</v>
      </c>
      <c r="C39" s="1">
        <v>-0.335</v>
      </c>
      <c r="D39" s="1">
        <v>0.336</v>
      </c>
      <c r="E39" s="1">
        <v>1.175</v>
      </c>
      <c r="H39" s="1">
        <v>4.5</v>
      </c>
      <c r="I39" s="1">
        <v>-4.344</v>
      </c>
      <c r="J39" s="1">
        <v>-0.347</v>
      </c>
      <c r="K39" s="1">
        <v>1.165</v>
      </c>
      <c r="L39" s="1">
        <v>0.347</v>
      </c>
      <c r="M39" s="2">
        <f ca="1" t="shared" si="0"/>
        <v>0.349898194257831</v>
      </c>
      <c r="N39" s="2">
        <v>0.344</v>
      </c>
      <c r="O39">
        <f ca="1" t="shared" si="1"/>
        <v>0.0083521448352488</v>
      </c>
      <c r="P39" s="3">
        <f t="shared" si="2"/>
        <v>-0.00864553314121038</v>
      </c>
      <c r="S39">
        <v>0.339</v>
      </c>
      <c r="T39" s="1">
        <v>4.5</v>
      </c>
      <c r="U39">
        <v>0.347</v>
      </c>
      <c r="V39">
        <v>0.344</v>
      </c>
      <c r="W39">
        <f t="shared" si="3"/>
        <v>9.00000000000002e-6</v>
      </c>
    </row>
    <row r="40" spans="1:23">
      <c r="A40" s="1">
        <v>4.9</v>
      </c>
      <c r="B40" s="1">
        <v>-4.332</v>
      </c>
      <c r="C40" s="1">
        <v>-0.336</v>
      </c>
      <c r="D40" s="1">
        <v>0.329</v>
      </c>
      <c r="E40" s="1">
        <v>1.178</v>
      </c>
      <c r="H40" s="1">
        <v>4.7</v>
      </c>
      <c r="I40" s="1">
        <v>-4.338</v>
      </c>
      <c r="J40" s="1">
        <v>-0.335</v>
      </c>
      <c r="K40" s="1">
        <v>1.175</v>
      </c>
      <c r="L40" s="1">
        <v>0.336</v>
      </c>
      <c r="M40" s="2">
        <f ca="1" t="shared" si="0"/>
        <v>0.334628268374057</v>
      </c>
      <c r="N40" s="2">
        <v>0.337</v>
      </c>
      <c r="O40">
        <f ca="1" t="shared" si="1"/>
        <v>-0.00408253460102003</v>
      </c>
      <c r="P40" s="3">
        <f t="shared" si="2"/>
        <v>0.00297619047619048</v>
      </c>
      <c r="S40">
        <v>0.339</v>
      </c>
      <c r="T40" s="1">
        <v>4.7</v>
      </c>
      <c r="U40">
        <v>0.336</v>
      </c>
      <c r="V40">
        <v>0.337</v>
      </c>
      <c r="W40">
        <f t="shared" si="3"/>
        <v>1e-6</v>
      </c>
    </row>
    <row r="41" spans="1:23">
      <c r="A41" s="1">
        <v>4.12</v>
      </c>
      <c r="B41" s="1">
        <v>-4.346</v>
      </c>
      <c r="C41" s="1">
        <v>-0.338</v>
      </c>
      <c r="D41" s="1">
        <v>0.335</v>
      </c>
      <c r="E41" s="1">
        <v>1.176</v>
      </c>
      <c r="H41" s="1">
        <v>4.9</v>
      </c>
      <c r="I41" s="1">
        <v>-4.332</v>
      </c>
      <c r="J41" s="1">
        <v>-0.336</v>
      </c>
      <c r="K41" s="1">
        <v>1.178</v>
      </c>
      <c r="L41" s="1">
        <v>0.329</v>
      </c>
      <c r="M41" s="2">
        <f ca="1" t="shared" si="0"/>
        <v>0.321521458848465</v>
      </c>
      <c r="N41" s="2">
        <v>0.336</v>
      </c>
      <c r="O41">
        <f ca="1" t="shared" si="1"/>
        <v>-0.0227311281201677</v>
      </c>
      <c r="P41" s="3">
        <f t="shared" si="2"/>
        <v>0.0212765957446809</v>
      </c>
      <c r="S41">
        <v>0.339</v>
      </c>
      <c r="T41" s="1">
        <v>4.9</v>
      </c>
      <c r="U41">
        <v>0.329</v>
      </c>
      <c r="V41">
        <v>0.336</v>
      </c>
      <c r="W41">
        <f t="shared" si="3"/>
        <v>4.90000000000001e-5</v>
      </c>
    </row>
    <row r="42" spans="1:23">
      <c r="A42" s="1">
        <v>4.14</v>
      </c>
      <c r="B42" s="1">
        <v>-4.331</v>
      </c>
      <c r="C42" s="1">
        <v>-0.352</v>
      </c>
      <c r="D42" s="1">
        <v>0.334</v>
      </c>
      <c r="E42" s="1">
        <v>1.163</v>
      </c>
      <c r="H42" s="1">
        <v>4.12</v>
      </c>
      <c r="I42" s="1">
        <v>-4.346</v>
      </c>
      <c r="J42" s="1">
        <v>-0.338</v>
      </c>
      <c r="K42" s="1">
        <v>1.176</v>
      </c>
      <c r="L42" s="1">
        <v>0.335</v>
      </c>
      <c r="M42" s="2">
        <f ca="1" t="shared" si="0"/>
        <v>0.338891470318913</v>
      </c>
      <c r="N42" s="2">
        <v>0.335</v>
      </c>
      <c r="O42">
        <f ca="1" t="shared" si="1"/>
        <v>0.0116163293101893</v>
      </c>
      <c r="P42" s="3">
        <f t="shared" si="2"/>
        <v>0</v>
      </c>
      <c r="S42">
        <v>0.339</v>
      </c>
      <c r="T42" s="1">
        <v>4.12</v>
      </c>
      <c r="U42">
        <v>0.335</v>
      </c>
      <c r="V42">
        <v>0.335</v>
      </c>
      <c r="W42">
        <f t="shared" si="3"/>
        <v>0</v>
      </c>
    </row>
    <row r="43" spans="1:23">
      <c r="A43" s="1">
        <v>4.16</v>
      </c>
      <c r="B43" s="1">
        <v>-4.33</v>
      </c>
      <c r="C43" s="1">
        <v>-0.348</v>
      </c>
      <c r="D43" s="1">
        <v>0.347</v>
      </c>
      <c r="E43" s="1">
        <v>1.165</v>
      </c>
      <c r="H43" s="1">
        <v>4.14</v>
      </c>
      <c r="I43" s="1">
        <v>-4.331</v>
      </c>
      <c r="J43" s="1">
        <v>-0.352</v>
      </c>
      <c r="K43" s="1">
        <v>1.163</v>
      </c>
      <c r="L43" s="1">
        <v>0.334</v>
      </c>
      <c r="M43" s="2">
        <f ca="1" t="shared" si="0"/>
        <v>0.337996192702604</v>
      </c>
      <c r="N43" s="2">
        <v>0.339</v>
      </c>
      <c r="O43">
        <f ca="1" t="shared" si="1"/>
        <v>0.0119646488101906</v>
      </c>
      <c r="P43" s="3">
        <f t="shared" si="2"/>
        <v>0.0149700598802395</v>
      </c>
      <c r="S43">
        <v>0.339</v>
      </c>
      <c r="T43" s="1">
        <v>4.14</v>
      </c>
      <c r="U43">
        <v>0.334</v>
      </c>
      <c r="V43">
        <v>0.339</v>
      </c>
      <c r="W43">
        <f t="shared" si="3"/>
        <v>2.5e-5</v>
      </c>
    </row>
    <row r="44" spans="1:23">
      <c r="A44" s="1">
        <v>4.19</v>
      </c>
      <c r="B44" s="1">
        <v>-4.335</v>
      </c>
      <c r="C44" s="1">
        <v>-0.347</v>
      </c>
      <c r="D44" s="1">
        <v>0.339</v>
      </c>
      <c r="E44" s="1">
        <v>1.168</v>
      </c>
      <c r="H44" s="1">
        <v>4.16</v>
      </c>
      <c r="I44" s="1">
        <v>-4.33</v>
      </c>
      <c r="J44" s="1">
        <v>-0.348</v>
      </c>
      <c r="K44" s="1">
        <v>1.165</v>
      </c>
      <c r="L44" s="1">
        <v>0.347</v>
      </c>
      <c r="M44" s="2">
        <f ca="1" t="shared" si="0"/>
        <v>0.350521893523408</v>
      </c>
      <c r="N44" s="2">
        <v>0.346</v>
      </c>
      <c r="O44">
        <f ca="1" t="shared" si="1"/>
        <v>0.0101495490588123</v>
      </c>
      <c r="P44" s="3">
        <f t="shared" si="2"/>
        <v>-0.00288184438040346</v>
      </c>
      <c r="S44">
        <v>0.339</v>
      </c>
      <c r="T44" s="1">
        <v>4.16</v>
      </c>
      <c r="U44">
        <v>0.347</v>
      </c>
      <c r="V44">
        <v>0.346</v>
      </c>
      <c r="W44">
        <f t="shared" si="3"/>
        <v>1e-6</v>
      </c>
    </row>
    <row r="45" spans="1:23">
      <c r="A45" s="1">
        <v>4.21</v>
      </c>
      <c r="B45" s="1">
        <v>-4.338</v>
      </c>
      <c r="C45" s="1">
        <v>-0.349</v>
      </c>
      <c r="D45" s="1">
        <v>0.343</v>
      </c>
      <c r="E45" s="1">
        <v>1.178</v>
      </c>
      <c r="H45" s="1">
        <v>4.19</v>
      </c>
      <c r="I45" s="1">
        <v>-4.335</v>
      </c>
      <c r="J45" s="1">
        <v>-0.347</v>
      </c>
      <c r="K45" s="1">
        <v>1.168</v>
      </c>
      <c r="L45" s="1">
        <v>0.339</v>
      </c>
      <c r="M45" s="2">
        <f ca="1" t="shared" si="0"/>
        <v>0.339</v>
      </c>
      <c r="N45" s="2">
        <v>0.339</v>
      </c>
      <c r="O45">
        <f ca="1" t="shared" si="1"/>
        <v>0</v>
      </c>
      <c r="P45" s="3">
        <f t="shared" si="2"/>
        <v>0</v>
      </c>
      <c r="S45">
        <v>0.339</v>
      </c>
      <c r="T45" s="1">
        <v>4.19</v>
      </c>
      <c r="U45">
        <v>0.339</v>
      </c>
      <c r="V45">
        <v>0.339</v>
      </c>
      <c r="W45">
        <f t="shared" si="3"/>
        <v>0</v>
      </c>
    </row>
    <row r="46" spans="1:23">
      <c r="A46" s="1">
        <v>4.23</v>
      </c>
      <c r="B46" s="1">
        <v>-4.337</v>
      </c>
      <c r="C46" s="1">
        <v>-0.35</v>
      </c>
      <c r="D46" s="1">
        <v>0.342</v>
      </c>
      <c r="E46" s="1">
        <v>1.176</v>
      </c>
      <c r="H46" s="1">
        <v>4.21</v>
      </c>
      <c r="I46" s="1">
        <v>-4.338</v>
      </c>
      <c r="J46" s="1">
        <v>-0.349</v>
      </c>
      <c r="K46" s="1">
        <v>1.178</v>
      </c>
      <c r="L46" s="1">
        <v>0.343</v>
      </c>
      <c r="M46" s="2">
        <f ca="1" t="shared" si="0"/>
        <v>0.340515723434157</v>
      </c>
      <c r="N46" s="2">
        <v>0.341</v>
      </c>
      <c r="O46">
        <f ca="1" t="shared" si="1"/>
        <v>-0.00724278882169968</v>
      </c>
      <c r="P46" s="3">
        <f t="shared" si="2"/>
        <v>-0.00583090379008747</v>
      </c>
      <c r="S46">
        <v>0.339</v>
      </c>
      <c r="T46" s="1">
        <v>4.21</v>
      </c>
      <c r="U46">
        <v>0.343</v>
      </c>
      <c r="V46">
        <v>0.341</v>
      </c>
      <c r="W46">
        <f t="shared" si="3"/>
        <v>4.00000000000001e-6</v>
      </c>
    </row>
    <row r="47" spans="1:23">
      <c r="A47" s="1">
        <v>4.26</v>
      </c>
      <c r="B47" s="1">
        <v>-4.339</v>
      </c>
      <c r="C47" s="1">
        <v>-0.347</v>
      </c>
      <c r="D47" s="1">
        <v>0.348</v>
      </c>
      <c r="E47" s="1">
        <v>1.165</v>
      </c>
      <c r="H47" s="1">
        <v>4.23</v>
      </c>
      <c r="I47" s="1">
        <v>-4.337</v>
      </c>
      <c r="J47" s="1">
        <v>-0.35</v>
      </c>
      <c r="K47" s="1">
        <v>1.176</v>
      </c>
      <c r="L47" s="1">
        <v>0.342</v>
      </c>
      <c r="M47" s="2">
        <f ca="1" t="shared" si="0"/>
        <v>0.343373954304384</v>
      </c>
      <c r="N47" s="2">
        <v>0.339</v>
      </c>
      <c r="O47">
        <f ca="1" t="shared" si="1"/>
        <v>0.00401741024673757</v>
      </c>
      <c r="P47" s="3">
        <f t="shared" si="2"/>
        <v>-0.00877192982456141</v>
      </c>
      <c r="S47">
        <v>0.339</v>
      </c>
      <c r="T47" s="1">
        <v>4.23</v>
      </c>
      <c r="U47">
        <v>0.342</v>
      </c>
      <c r="V47">
        <v>0.339</v>
      </c>
      <c r="W47">
        <f t="shared" si="3"/>
        <v>9.00000000000002e-6</v>
      </c>
    </row>
    <row r="48" spans="8:23">
      <c r="H48" s="1">
        <v>4.26</v>
      </c>
      <c r="I48" s="1">
        <v>-4.339</v>
      </c>
      <c r="J48" s="1">
        <v>-0.347</v>
      </c>
      <c r="K48" s="1">
        <v>1.165</v>
      </c>
      <c r="L48" s="1">
        <v>0.348</v>
      </c>
      <c r="M48" s="2">
        <f ca="1" t="shared" si="0"/>
        <v>0.356295043464648</v>
      </c>
      <c r="N48" s="2">
        <v>0.345</v>
      </c>
      <c r="O48">
        <f ca="1" t="shared" si="1"/>
        <v>0.0238363317949666</v>
      </c>
      <c r="P48" s="3">
        <f t="shared" si="2"/>
        <v>-0.00862068965517242</v>
      </c>
      <c r="S48">
        <v>0.339</v>
      </c>
      <c r="T48" s="1">
        <v>4.26</v>
      </c>
      <c r="U48">
        <v>0.348</v>
      </c>
      <c r="V48">
        <v>0.345</v>
      </c>
      <c r="W48">
        <f t="shared" si="3"/>
        <v>9.00000000000002e-6</v>
      </c>
    </row>
    <row r="49" spans="12:23">
      <c r="L49">
        <f>AVERAGE(L2:L48)</f>
        <v>0.339851063829787</v>
      </c>
      <c r="W49">
        <f>SUM(W2:W48)/48</f>
        <v>1.07083333333333e-5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2018行列转换</vt:lpstr>
      <vt:lpstr>2019行列转换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dcterms:created xsi:type="dcterms:W3CDTF">2019-05-04T01:11:00Z</dcterms:created>
  <dcterms:modified xsi:type="dcterms:W3CDTF">2019-05-05T09:22:50Z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